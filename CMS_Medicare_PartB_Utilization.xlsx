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oneke\Downloads\"/>
    </mc:Choice>
  </mc:AlternateContent>
  <xr:revisionPtr revIDLastSave="0" documentId="13_ncr:1_{342DA37D-9B79-40A5-91A8-7D49758694C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Project Guide" sheetId="1" r:id="rId1"/>
    <sheet name="2022" sheetId="7" r:id="rId2"/>
    <sheet name="2023" sheetId="5" r:id="rId3"/>
    <sheet name="2024" sheetId="6" r:id="rId4"/>
    <sheet name="Combined Data" sheetId="2" r:id="rId5"/>
    <sheet name="Annual Summary" sheetId="3" r:id="rId6"/>
    <sheet name="Sources" sheetId="4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7" i="7" l="1"/>
  <c r="G127" i="7"/>
  <c r="F127" i="7"/>
  <c r="H126" i="7"/>
  <c r="G126" i="7"/>
  <c r="F126" i="7"/>
  <c r="H125" i="7"/>
  <c r="G125" i="7"/>
  <c r="F125" i="7"/>
  <c r="H124" i="7"/>
  <c r="G124" i="7"/>
  <c r="F124" i="7"/>
  <c r="H123" i="7"/>
  <c r="G123" i="7"/>
  <c r="F123" i="7"/>
  <c r="H122" i="7"/>
  <c r="G122" i="7"/>
  <c r="F122" i="7"/>
  <c r="H121" i="7"/>
  <c r="G121" i="7"/>
  <c r="F121" i="7"/>
  <c r="H120" i="7"/>
  <c r="G120" i="7"/>
  <c r="F120" i="7"/>
  <c r="H119" i="7"/>
  <c r="G119" i="7"/>
  <c r="F119" i="7"/>
  <c r="H118" i="7"/>
  <c r="G118" i="7"/>
  <c r="F118" i="7"/>
  <c r="H117" i="7"/>
  <c r="G117" i="7"/>
  <c r="F117" i="7"/>
  <c r="H116" i="7"/>
  <c r="G116" i="7"/>
  <c r="F116" i="7"/>
  <c r="H115" i="7"/>
  <c r="G115" i="7"/>
  <c r="F115" i="7"/>
  <c r="H114" i="7"/>
  <c r="G114" i="7"/>
  <c r="F114" i="7"/>
  <c r="H113" i="7"/>
  <c r="G113" i="7"/>
  <c r="F113" i="7"/>
  <c r="H112" i="7"/>
  <c r="G112" i="7"/>
  <c r="F112" i="7"/>
  <c r="H111" i="7"/>
  <c r="G111" i="7"/>
  <c r="F111" i="7"/>
  <c r="H110" i="7"/>
  <c r="G110" i="7"/>
  <c r="F110" i="7"/>
  <c r="H109" i="7"/>
  <c r="G109" i="7"/>
  <c r="F109" i="7"/>
  <c r="H108" i="7"/>
  <c r="G108" i="7"/>
  <c r="F108" i="7"/>
  <c r="H107" i="7"/>
  <c r="G107" i="7"/>
  <c r="F107" i="7"/>
  <c r="H106" i="7"/>
  <c r="G106" i="7"/>
  <c r="F106" i="7"/>
  <c r="H105" i="7"/>
  <c r="G105" i="7"/>
  <c r="F105" i="7"/>
  <c r="H104" i="7"/>
  <c r="G104" i="7"/>
  <c r="F104" i="7"/>
  <c r="H103" i="7"/>
  <c r="G103" i="7"/>
  <c r="F103" i="7"/>
  <c r="H102" i="7"/>
  <c r="G102" i="7"/>
  <c r="F102" i="7"/>
  <c r="H101" i="7"/>
  <c r="G101" i="7"/>
  <c r="F101" i="7"/>
  <c r="H100" i="7"/>
  <c r="G100" i="7"/>
  <c r="F100" i="7"/>
  <c r="H99" i="7"/>
  <c r="G99" i="7"/>
  <c r="F99" i="7"/>
  <c r="H98" i="7"/>
  <c r="G98" i="7"/>
  <c r="F98" i="7"/>
  <c r="H97" i="7"/>
  <c r="G97" i="7"/>
  <c r="F97" i="7"/>
  <c r="H96" i="7"/>
  <c r="G96" i="7"/>
  <c r="F96" i="7"/>
  <c r="H95" i="7"/>
  <c r="G95" i="7"/>
  <c r="F95" i="7"/>
  <c r="H94" i="7"/>
  <c r="G94" i="7"/>
  <c r="F94" i="7"/>
  <c r="H93" i="7"/>
  <c r="G93" i="7"/>
  <c r="F93" i="7"/>
  <c r="H92" i="7"/>
  <c r="G92" i="7"/>
  <c r="F92" i="7"/>
  <c r="H91" i="7"/>
  <c r="G91" i="7"/>
  <c r="F91" i="7"/>
  <c r="H90" i="7"/>
  <c r="G90" i="7"/>
  <c r="F90" i="7"/>
  <c r="H89" i="7"/>
  <c r="G89" i="7"/>
  <c r="F89" i="7"/>
  <c r="H88" i="7"/>
  <c r="G88" i="7"/>
  <c r="F88" i="7"/>
  <c r="H87" i="7"/>
  <c r="G87" i="7"/>
  <c r="F87" i="7"/>
  <c r="H86" i="7"/>
  <c r="G86" i="7"/>
  <c r="F86" i="7"/>
  <c r="H85" i="7"/>
  <c r="G85" i="7"/>
  <c r="F85" i="7"/>
  <c r="H84" i="7"/>
  <c r="G84" i="7"/>
  <c r="F84" i="7"/>
  <c r="H83" i="7"/>
  <c r="G83" i="7"/>
  <c r="F83" i="7"/>
  <c r="H82" i="7"/>
  <c r="G82" i="7"/>
  <c r="F82" i="7"/>
  <c r="H81" i="7"/>
  <c r="G81" i="7"/>
  <c r="F81" i="7"/>
  <c r="H80" i="7"/>
  <c r="G80" i="7"/>
  <c r="F80" i="7"/>
  <c r="H79" i="7"/>
  <c r="G79" i="7"/>
  <c r="F79" i="7"/>
  <c r="H78" i="7"/>
  <c r="G78" i="7"/>
  <c r="F78" i="7"/>
  <c r="H77" i="7"/>
  <c r="G77" i="7"/>
  <c r="F77" i="7"/>
  <c r="H76" i="7"/>
  <c r="G76" i="7"/>
  <c r="F76" i="7"/>
  <c r="H75" i="7"/>
  <c r="G75" i="7"/>
  <c r="F75" i="7"/>
  <c r="H74" i="7"/>
  <c r="G74" i="7"/>
  <c r="F74" i="7"/>
  <c r="H73" i="7"/>
  <c r="G73" i="7"/>
  <c r="F73" i="7"/>
  <c r="H72" i="7"/>
  <c r="G72" i="7"/>
  <c r="F72" i="7"/>
  <c r="H71" i="7"/>
  <c r="G71" i="7"/>
  <c r="F71" i="7"/>
  <c r="H70" i="7"/>
  <c r="G70" i="7"/>
  <c r="F70" i="7"/>
  <c r="H69" i="7"/>
  <c r="G69" i="7"/>
  <c r="F69" i="7"/>
  <c r="H68" i="7"/>
  <c r="G68" i="7"/>
  <c r="F68" i="7"/>
  <c r="H67" i="7"/>
  <c r="G67" i="7"/>
  <c r="F67" i="7"/>
  <c r="H66" i="7"/>
  <c r="G66" i="7"/>
  <c r="F66" i="7"/>
  <c r="H65" i="7"/>
  <c r="G65" i="7"/>
  <c r="F65" i="7"/>
  <c r="H64" i="7"/>
  <c r="G64" i="7"/>
  <c r="F64" i="7"/>
  <c r="H63" i="7"/>
  <c r="G63" i="7"/>
  <c r="F63" i="7"/>
  <c r="H62" i="7"/>
  <c r="G62" i="7"/>
  <c r="F62" i="7"/>
  <c r="H61" i="7"/>
  <c r="G61" i="7"/>
  <c r="F61" i="7"/>
  <c r="H60" i="7"/>
  <c r="G60" i="7"/>
  <c r="F60" i="7"/>
  <c r="H59" i="7"/>
  <c r="G59" i="7"/>
  <c r="F59" i="7"/>
  <c r="H58" i="7"/>
  <c r="G58" i="7"/>
  <c r="F58" i="7"/>
  <c r="H57" i="7"/>
  <c r="G57" i="7"/>
  <c r="F57" i="7"/>
  <c r="H56" i="7"/>
  <c r="G56" i="7"/>
  <c r="F56" i="7"/>
  <c r="H55" i="7"/>
  <c r="G55" i="7"/>
  <c r="F55" i="7"/>
  <c r="H54" i="7"/>
  <c r="G54" i="7"/>
  <c r="F54" i="7"/>
  <c r="H53" i="7"/>
  <c r="G53" i="7"/>
  <c r="F53" i="7"/>
  <c r="H52" i="7"/>
  <c r="G52" i="7"/>
  <c r="F52" i="7"/>
  <c r="H51" i="7"/>
  <c r="G51" i="7"/>
  <c r="F51" i="7"/>
  <c r="H50" i="7"/>
  <c r="G50" i="7"/>
  <c r="F50" i="7"/>
  <c r="H49" i="7"/>
  <c r="G49" i="7"/>
  <c r="F49" i="7"/>
  <c r="H48" i="7"/>
  <c r="G48" i="7"/>
  <c r="F48" i="7"/>
  <c r="H47" i="7"/>
  <c r="G47" i="7"/>
  <c r="F47" i="7"/>
  <c r="H46" i="7"/>
  <c r="G46" i="7"/>
  <c r="F46" i="7"/>
  <c r="H45" i="7"/>
  <c r="G45" i="7"/>
  <c r="F45" i="7"/>
  <c r="H44" i="7"/>
  <c r="G44" i="7"/>
  <c r="F44" i="7"/>
  <c r="H43" i="7"/>
  <c r="G43" i="7"/>
  <c r="F43" i="7"/>
  <c r="H42" i="7"/>
  <c r="G42" i="7"/>
  <c r="F42" i="7"/>
  <c r="H41" i="7"/>
  <c r="G41" i="7"/>
  <c r="F41" i="7"/>
  <c r="H40" i="7"/>
  <c r="G40" i="7"/>
  <c r="F40" i="7"/>
  <c r="H39" i="7"/>
  <c r="G39" i="7"/>
  <c r="F39" i="7"/>
  <c r="H38" i="7"/>
  <c r="G38" i="7"/>
  <c r="F38" i="7"/>
  <c r="H37" i="7"/>
  <c r="G37" i="7"/>
  <c r="F37" i="7"/>
  <c r="H36" i="7"/>
  <c r="G36" i="7"/>
  <c r="F36" i="7"/>
  <c r="H35" i="7"/>
  <c r="G35" i="7"/>
  <c r="F35" i="7"/>
  <c r="H34" i="7"/>
  <c r="G34" i="7"/>
  <c r="F34" i="7"/>
  <c r="H33" i="7"/>
  <c r="G33" i="7"/>
  <c r="F33" i="7"/>
  <c r="H32" i="7"/>
  <c r="G32" i="7"/>
  <c r="F32" i="7"/>
  <c r="H31" i="7"/>
  <c r="G31" i="7"/>
  <c r="F31" i="7"/>
  <c r="H30" i="7"/>
  <c r="G30" i="7"/>
  <c r="F30" i="7"/>
  <c r="H29" i="7"/>
  <c r="G29" i="7"/>
  <c r="F29" i="7"/>
  <c r="H28" i="7"/>
  <c r="G28" i="7"/>
  <c r="F28" i="7"/>
  <c r="H27" i="7"/>
  <c r="G27" i="7"/>
  <c r="F27" i="7"/>
  <c r="H26" i="7"/>
  <c r="G26" i="7"/>
  <c r="F26" i="7"/>
  <c r="H25" i="7"/>
  <c r="G25" i="7"/>
  <c r="F25" i="7"/>
  <c r="H24" i="7"/>
  <c r="G24" i="7"/>
  <c r="F24" i="7"/>
  <c r="H23" i="7"/>
  <c r="G23" i="7"/>
  <c r="F23" i="7"/>
  <c r="H22" i="7"/>
  <c r="G22" i="7"/>
  <c r="F22" i="7"/>
  <c r="H21" i="7"/>
  <c r="G21" i="7"/>
  <c r="F21" i="7"/>
  <c r="H20" i="7"/>
  <c r="G20" i="7"/>
  <c r="F20" i="7"/>
  <c r="H19" i="7"/>
  <c r="G19" i="7"/>
  <c r="F19" i="7"/>
  <c r="H18" i="7"/>
  <c r="G18" i="7"/>
  <c r="F18" i="7"/>
  <c r="H17" i="7"/>
  <c r="G17" i="7"/>
  <c r="F17" i="7"/>
  <c r="H16" i="7"/>
  <c r="G16" i="7"/>
  <c r="F16" i="7"/>
  <c r="H15" i="7"/>
  <c r="G15" i="7"/>
  <c r="F15" i="7"/>
  <c r="H14" i="7"/>
  <c r="G14" i="7"/>
  <c r="F14" i="7"/>
  <c r="H13" i="7"/>
  <c r="G13" i="7"/>
  <c r="F13" i="7"/>
  <c r="H12" i="7"/>
  <c r="G12" i="7"/>
  <c r="F12" i="7"/>
  <c r="H11" i="7"/>
  <c r="G11" i="7"/>
  <c r="F11" i="7"/>
  <c r="H10" i="7"/>
  <c r="G10" i="7"/>
  <c r="F10" i="7"/>
  <c r="H9" i="7"/>
  <c r="G9" i="7"/>
  <c r="F9" i="7"/>
  <c r="H8" i="7"/>
  <c r="G8" i="7"/>
  <c r="F8" i="7"/>
  <c r="H7" i="7"/>
  <c r="G7" i="7"/>
  <c r="F7" i="7"/>
  <c r="H6" i="7"/>
  <c r="G6" i="7"/>
  <c r="F6" i="7"/>
  <c r="H5" i="7"/>
  <c r="G5" i="7"/>
  <c r="F5" i="7"/>
  <c r="H4" i="7"/>
  <c r="G4" i="7"/>
  <c r="F4" i="7"/>
  <c r="H3" i="7"/>
  <c r="G3" i="7"/>
  <c r="F3" i="7"/>
  <c r="H2" i="7"/>
  <c r="G2" i="7"/>
  <c r="F2" i="7"/>
  <c r="H136" i="6"/>
  <c r="G136" i="6"/>
  <c r="F136" i="6"/>
  <c r="H135" i="6"/>
  <c r="G135" i="6"/>
  <c r="F135" i="6"/>
  <c r="H134" i="6"/>
  <c r="G134" i="6"/>
  <c r="F134" i="6"/>
  <c r="H133" i="6"/>
  <c r="G133" i="6"/>
  <c r="F133" i="6"/>
  <c r="H132" i="6"/>
  <c r="G132" i="6"/>
  <c r="F132" i="6"/>
  <c r="H131" i="6"/>
  <c r="G131" i="6"/>
  <c r="F131" i="6"/>
  <c r="H130" i="6"/>
  <c r="G130" i="6"/>
  <c r="F130" i="6"/>
  <c r="H129" i="6"/>
  <c r="G129" i="6"/>
  <c r="F129" i="6"/>
  <c r="H128" i="6"/>
  <c r="G128" i="6"/>
  <c r="F128" i="6"/>
  <c r="H127" i="6"/>
  <c r="G127" i="6"/>
  <c r="F127" i="6"/>
  <c r="H126" i="6"/>
  <c r="G126" i="6"/>
  <c r="F126" i="6"/>
  <c r="H125" i="6"/>
  <c r="G125" i="6"/>
  <c r="F125" i="6"/>
  <c r="H124" i="6"/>
  <c r="G124" i="6"/>
  <c r="F124" i="6"/>
  <c r="H123" i="6"/>
  <c r="G123" i="6"/>
  <c r="F123" i="6"/>
  <c r="H122" i="6"/>
  <c r="G122" i="6"/>
  <c r="F122" i="6"/>
  <c r="H121" i="6"/>
  <c r="G121" i="6"/>
  <c r="F121" i="6"/>
  <c r="H120" i="6"/>
  <c r="G120" i="6"/>
  <c r="F120" i="6"/>
  <c r="H119" i="6"/>
  <c r="G119" i="6"/>
  <c r="F119" i="6"/>
  <c r="H118" i="6"/>
  <c r="G118" i="6"/>
  <c r="F118" i="6"/>
  <c r="H117" i="6"/>
  <c r="G117" i="6"/>
  <c r="F117" i="6"/>
  <c r="H116" i="6"/>
  <c r="G116" i="6"/>
  <c r="F116" i="6"/>
  <c r="H115" i="6"/>
  <c r="G115" i="6"/>
  <c r="F115" i="6"/>
  <c r="H114" i="6"/>
  <c r="G114" i="6"/>
  <c r="F114" i="6"/>
  <c r="H113" i="6"/>
  <c r="G113" i="6"/>
  <c r="F113" i="6"/>
  <c r="H112" i="6"/>
  <c r="G112" i="6"/>
  <c r="F112" i="6"/>
  <c r="H111" i="6"/>
  <c r="G111" i="6"/>
  <c r="F111" i="6"/>
  <c r="H110" i="6"/>
  <c r="G110" i="6"/>
  <c r="F110" i="6"/>
  <c r="H109" i="6"/>
  <c r="G109" i="6"/>
  <c r="F109" i="6"/>
  <c r="H108" i="6"/>
  <c r="G108" i="6"/>
  <c r="F108" i="6"/>
  <c r="H107" i="6"/>
  <c r="G107" i="6"/>
  <c r="F107" i="6"/>
  <c r="H106" i="6"/>
  <c r="G106" i="6"/>
  <c r="F106" i="6"/>
  <c r="H105" i="6"/>
  <c r="G105" i="6"/>
  <c r="F105" i="6"/>
  <c r="H104" i="6"/>
  <c r="G104" i="6"/>
  <c r="F104" i="6"/>
  <c r="H103" i="6"/>
  <c r="G103" i="6"/>
  <c r="F103" i="6"/>
  <c r="H102" i="6"/>
  <c r="G102" i="6"/>
  <c r="F102" i="6"/>
  <c r="H101" i="6"/>
  <c r="G101" i="6"/>
  <c r="F101" i="6"/>
  <c r="H100" i="6"/>
  <c r="G100" i="6"/>
  <c r="F100" i="6"/>
  <c r="H99" i="6"/>
  <c r="G99" i="6"/>
  <c r="F99" i="6"/>
  <c r="H98" i="6"/>
  <c r="G98" i="6"/>
  <c r="F98" i="6"/>
  <c r="H97" i="6"/>
  <c r="G97" i="6"/>
  <c r="F97" i="6"/>
  <c r="H96" i="6"/>
  <c r="G96" i="6"/>
  <c r="F96" i="6"/>
  <c r="H95" i="6"/>
  <c r="G95" i="6"/>
  <c r="F95" i="6"/>
  <c r="H94" i="6"/>
  <c r="G94" i="6"/>
  <c r="F94" i="6"/>
  <c r="H93" i="6"/>
  <c r="G93" i="6"/>
  <c r="F93" i="6"/>
  <c r="H92" i="6"/>
  <c r="G92" i="6"/>
  <c r="F92" i="6"/>
  <c r="H91" i="6"/>
  <c r="G91" i="6"/>
  <c r="F91" i="6"/>
  <c r="H90" i="6"/>
  <c r="G90" i="6"/>
  <c r="F90" i="6"/>
  <c r="H89" i="6"/>
  <c r="G89" i="6"/>
  <c r="F89" i="6"/>
  <c r="H88" i="6"/>
  <c r="G88" i="6"/>
  <c r="F88" i="6"/>
  <c r="H87" i="6"/>
  <c r="G87" i="6"/>
  <c r="F87" i="6"/>
  <c r="H86" i="6"/>
  <c r="G86" i="6"/>
  <c r="F86" i="6"/>
  <c r="H85" i="6"/>
  <c r="G85" i="6"/>
  <c r="F85" i="6"/>
  <c r="H84" i="6"/>
  <c r="G84" i="6"/>
  <c r="F84" i="6"/>
  <c r="H83" i="6"/>
  <c r="G83" i="6"/>
  <c r="F83" i="6"/>
  <c r="H82" i="6"/>
  <c r="G82" i="6"/>
  <c r="F82" i="6"/>
  <c r="H81" i="6"/>
  <c r="G81" i="6"/>
  <c r="F81" i="6"/>
  <c r="H80" i="6"/>
  <c r="G80" i="6"/>
  <c r="F80" i="6"/>
  <c r="H79" i="6"/>
  <c r="G79" i="6"/>
  <c r="F79" i="6"/>
  <c r="H78" i="6"/>
  <c r="G78" i="6"/>
  <c r="F78" i="6"/>
  <c r="H77" i="6"/>
  <c r="G77" i="6"/>
  <c r="F77" i="6"/>
  <c r="H76" i="6"/>
  <c r="G76" i="6"/>
  <c r="F76" i="6"/>
  <c r="H75" i="6"/>
  <c r="G75" i="6"/>
  <c r="F75" i="6"/>
  <c r="H74" i="6"/>
  <c r="G74" i="6"/>
  <c r="F74" i="6"/>
  <c r="H73" i="6"/>
  <c r="G73" i="6"/>
  <c r="F73" i="6"/>
  <c r="H72" i="6"/>
  <c r="G72" i="6"/>
  <c r="F72" i="6"/>
  <c r="H71" i="6"/>
  <c r="G71" i="6"/>
  <c r="F71" i="6"/>
  <c r="H70" i="6"/>
  <c r="G70" i="6"/>
  <c r="F70" i="6"/>
  <c r="H69" i="6"/>
  <c r="G69" i="6"/>
  <c r="F69" i="6"/>
  <c r="H68" i="6"/>
  <c r="G68" i="6"/>
  <c r="F68" i="6"/>
  <c r="H67" i="6"/>
  <c r="G67" i="6"/>
  <c r="F67" i="6"/>
  <c r="H66" i="6"/>
  <c r="G66" i="6"/>
  <c r="F66" i="6"/>
  <c r="H65" i="6"/>
  <c r="G65" i="6"/>
  <c r="F65" i="6"/>
  <c r="H64" i="6"/>
  <c r="G64" i="6"/>
  <c r="F64" i="6"/>
  <c r="H63" i="6"/>
  <c r="G63" i="6"/>
  <c r="F63" i="6"/>
  <c r="H62" i="6"/>
  <c r="G62" i="6"/>
  <c r="F62" i="6"/>
  <c r="H61" i="6"/>
  <c r="G61" i="6"/>
  <c r="F61" i="6"/>
  <c r="H60" i="6"/>
  <c r="G60" i="6"/>
  <c r="F60" i="6"/>
  <c r="H59" i="6"/>
  <c r="G59" i="6"/>
  <c r="F59" i="6"/>
  <c r="H58" i="6"/>
  <c r="G58" i="6"/>
  <c r="F58" i="6"/>
  <c r="H57" i="6"/>
  <c r="G57" i="6"/>
  <c r="F57" i="6"/>
  <c r="H56" i="6"/>
  <c r="G56" i="6"/>
  <c r="F56" i="6"/>
  <c r="H55" i="6"/>
  <c r="G55" i="6"/>
  <c r="F55" i="6"/>
  <c r="H54" i="6"/>
  <c r="G54" i="6"/>
  <c r="F54" i="6"/>
  <c r="H53" i="6"/>
  <c r="G53" i="6"/>
  <c r="F53" i="6"/>
  <c r="H52" i="6"/>
  <c r="G52" i="6"/>
  <c r="F52" i="6"/>
  <c r="H51" i="6"/>
  <c r="G51" i="6"/>
  <c r="F51" i="6"/>
  <c r="H50" i="6"/>
  <c r="G50" i="6"/>
  <c r="F50" i="6"/>
  <c r="H49" i="6"/>
  <c r="G49" i="6"/>
  <c r="F49" i="6"/>
  <c r="H48" i="6"/>
  <c r="G48" i="6"/>
  <c r="F48" i="6"/>
  <c r="H47" i="6"/>
  <c r="G47" i="6"/>
  <c r="F47" i="6"/>
  <c r="H46" i="6"/>
  <c r="G46" i="6"/>
  <c r="F46" i="6"/>
  <c r="H45" i="6"/>
  <c r="G45" i="6"/>
  <c r="F45" i="6"/>
  <c r="H44" i="6"/>
  <c r="G44" i="6"/>
  <c r="F44" i="6"/>
  <c r="H43" i="6"/>
  <c r="G43" i="6"/>
  <c r="F43" i="6"/>
  <c r="H42" i="6"/>
  <c r="G42" i="6"/>
  <c r="F42" i="6"/>
  <c r="H41" i="6"/>
  <c r="G41" i="6"/>
  <c r="F41" i="6"/>
  <c r="H40" i="6"/>
  <c r="G40" i="6"/>
  <c r="F40" i="6"/>
  <c r="H39" i="6"/>
  <c r="G39" i="6"/>
  <c r="F39" i="6"/>
  <c r="H38" i="6"/>
  <c r="G38" i="6"/>
  <c r="F38" i="6"/>
  <c r="H37" i="6"/>
  <c r="G37" i="6"/>
  <c r="F37" i="6"/>
  <c r="H36" i="6"/>
  <c r="G36" i="6"/>
  <c r="F36" i="6"/>
  <c r="H35" i="6"/>
  <c r="G35" i="6"/>
  <c r="F35" i="6"/>
  <c r="H34" i="6"/>
  <c r="G34" i="6"/>
  <c r="F34" i="6"/>
  <c r="H33" i="6"/>
  <c r="G33" i="6"/>
  <c r="F33" i="6"/>
  <c r="H32" i="6"/>
  <c r="G32" i="6"/>
  <c r="F32" i="6"/>
  <c r="H31" i="6"/>
  <c r="G31" i="6"/>
  <c r="F31" i="6"/>
  <c r="H30" i="6"/>
  <c r="G30" i="6"/>
  <c r="F30" i="6"/>
  <c r="H29" i="6"/>
  <c r="G29" i="6"/>
  <c r="F29" i="6"/>
  <c r="H28" i="6"/>
  <c r="G28" i="6"/>
  <c r="F28" i="6"/>
  <c r="H27" i="6"/>
  <c r="G27" i="6"/>
  <c r="F27" i="6"/>
  <c r="H26" i="6"/>
  <c r="G26" i="6"/>
  <c r="F26" i="6"/>
  <c r="H25" i="6"/>
  <c r="G25" i="6"/>
  <c r="F25" i="6"/>
  <c r="H24" i="6"/>
  <c r="G24" i="6"/>
  <c r="F24" i="6"/>
  <c r="H23" i="6"/>
  <c r="G23" i="6"/>
  <c r="F23" i="6"/>
  <c r="H22" i="6"/>
  <c r="G22" i="6"/>
  <c r="F22" i="6"/>
  <c r="H21" i="6"/>
  <c r="G21" i="6"/>
  <c r="F21" i="6"/>
  <c r="H20" i="6"/>
  <c r="G20" i="6"/>
  <c r="F20" i="6"/>
  <c r="H19" i="6"/>
  <c r="G19" i="6"/>
  <c r="F19" i="6"/>
  <c r="H18" i="6"/>
  <c r="G18" i="6"/>
  <c r="F18" i="6"/>
  <c r="H17" i="6"/>
  <c r="G17" i="6"/>
  <c r="F17" i="6"/>
  <c r="H16" i="6"/>
  <c r="G16" i="6"/>
  <c r="F16" i="6"/>
  <c r="H15" i="6"/>
  <c r="G15" i="6"/>
  <c r="F15" i="6"/>
  <c r="H14" i="6"/>
  <c r="G14" i="6"/>
  <c r="F14" i="6"/>
  <c r="H13" i="6"/>
  <c r="G13" i="6"/>
  <c r="F13" i="6"/>
  <c r="H12" i="6"/>
  <c r="G12" i="6"/>
  <c r="F12" i="6"/>
  <c r="H11" i="6"/>
  <c r="G11" i="6"/>
  <c r="F11" i="6"/>
  <c r="H10" i="6"/>
  <c r="G10" i="6"/>
  <c r="F10" i="6"/>
  <c r="H9" i="6"/>
  <c r="G9" i="6"/>
  <c r="F9" i="6"/>
  <c r="H8" i="6"/>
  <c r="G8" i="6"/>
  <c r="F8" i="6"/>
  <c r="H7" i="6"/>
  <c r="G7" i="6"/>
  <c r="F7" i="6"/>
  <c r="H6" i="6"/>
  <c r="G6" i="6"/>
  <c r="F6" i="6"/>
  <c r="H5" i="6"/>
  <c r="G5" i="6"/>
  <c r="F5" i="6"/>
  <c r="H4" i="6"/>
  <c r="G4" i="6"/>
  <c r="F4" i="6"/>
  <c r="H3" i="6"/>
  <c r="G3" i="6"/>
  <c r="F3" i="6"/>
  <c r="H2" i="6"/>
  <c r="G2" i="6"/>
  <c r="F2" i="6"/>
  <c r="H130" i="5"/>
  <c r="G130" i="5"/>
  <c r="F130" i="5"/>
  <c r="H129" i="5"/>
  <c r="G129" i="5"/>
  <c r="F129" i="5"/>
  <c r="H128" i="5"/>
  <c r="G128" i="5"/>
  <c r="F128" i="5"/>
  <c r="H127" i="5"/>
  <c r="G127" i="5"/>
  <c r="F127" i="5"/>
  <c r="H126" i="5"/>
  <c r="G126" i="5"/>
  <c r="F126" i="5"/>
  <c r="H125" i="5"/>
  <c r="G125" i="5"/>
  <c r="F125" i="5"/>
  <c r="H124" i="5"/>
  <c r="G124" i="5"/>
  <c r="F124" i="5"/>
  <c r="H123" i="5"/>
  <c r="G123" i="5"/>
  <c r="F123" i="5"/>
  <c r="H122" i="5"/>
  <c r="G122" i="5"/>
  <c r="F122" i="5"/>
  <c r="H121" i="5"/>
  <c r="G121" i="5"/>
  <c r="F121" i="5"/>
  <c r="H120" i="5"/>
  <c r="G120" i="5"/>
  <c r="F120" i="5"/>
  <c r="H119" i="5"/>
  <c r="G119" i="5"/>
  <c r="F119" i="5"/>
  <c r="H118" i="5"/>
  <c r="G118" i="5"/>
  <c r="F118" i="5"/>
  <c r="H117" i="5"/>
  <c r="G117" i="5"/>
  <c r="F117" i="5"/>
  <c r="H116" i="5"/>
  <c r="G116" i="5"/>
  <c r="F116" i="5"/>
  <c r="H115" i="5"/>
  <c r="G115" i="5"/>
  <c r="F115" i="5"/>
  <c r="H114" i="5"/>
  <c r="G114" i="5"/>
  <c r="F114" i="5"/>
  <c r="H113" i="5"/>
  <c r="G113" i="5"/>
  <c r="F113" i="5"/>
  <c r="H112" i="5"/>
  <c r="G112" i="5"/>
  <c r="F112" i="5"/>
  <c r="H111" i="5"/>
  <c r="G111" i="5"/>
  <c r="F111" i="5"/>
  <c r="H110" i="5"/>
  <c r="G110" i="5"/>
  <c r="F110" i="5"/>
  <c r="H109" i="5"/>
  <c r="G109" i="5"/>
  <c r="F109" i="5"/>
  <c r="H108" i="5"/>
  <c r="G108" i="5"/>
  <c r="F108" i="5"/>
  <c r="H107" i="5"/>
  <c r="G107" i="5"/>
  <c r="F107" i="5"/>
  <c r="H106" i="5"/>
  <c r="G106" i="5"/>
  <c r="F106" i="5"/>
  <c r="H105" i="5"/>
  <c r="G105" i="5"/>
  <c r="F105" i="5"/>
  <c r="H104" i="5"/>
  <c r="G104" i="5"/>
  <c r="F104" i="5"/>
  <c r="H103" i="5"/>
  <c r="G103" i="5"/>
  <c r="F103" i="5"/>
  <c r="H102" i="5"/>
  <c r="G102" i="5"/>
  <c r="F102" i="5"/>
  <c r="H101" i="5"/>
  <c r="G101" i="5"/>
  <c r="F101" i="5"/>
  <c r="H100" i="5"/>
  <c r="G100" i="5"/>
  <c r="F100" i="5"/>
  <c r="H99" i="5"/>
  <c r="G99" i="5"/>
  <c r="F99" i="5"/>
  <c r="H98" i="5"/>
  <c r="G98" i="5"/>
  <c r="F98" i="5"/>
  <c r="H97" i="5"/>
  <c r="G97" i="5"/>
  <c r="F97" i="5"/>
  <c r="H96" i="5"/>
  <c r="G96" i="5"/>
  <c r="F96" i="5"/>
  <c r="H95" i="5"/>
  <c r="G95" i="5"/>
  <c r="F95" i="5"/>
  <c r="H94" i="5"/>
  <c r="G94" i="5"/>
  <c r="F94" i="5"/>
  <c r="H93" i="5"/>
  <c r="G93" i="5"/>
  <c r="F93" i="5"/>
  <c r="H92" i="5"/>
  <c r="G92" i="5"/>
  <c r="F92" i="5"/>
  <c r="H91" i="5"/>
  <c r="G91" i="5"/>
  <c r="F91" i="5"/>
  <c r="H90" i="5"/>
  <c r="G90" i="5"/>
  <c r="F90" i="5"/>
  <c r="H89" i="5"/>
  <c r="G89" i="5"/>
  <c r="F89" i="5"/>
  <c r="H88" i="5"/>
  <c r="G88" i="5"/>
  <c r="F88" i="5"/>
  <c r="H87" i="5"/>
  <c r="G87" i="5"/>
  <c r="F87" i="5"/>
  <c r="H86" i="5"/>
  <c r="G86" i="5"/>
  <c r="F86" i="5"/>
  <c r="H85" i="5"/>
  <c r="G85" i="5"/>
  <c r="F85" i="5"/>
  <c r="H84" i="5"/>
  <c r="G84" i="5"/>
  <c r="F84" i="5"/>
  <c r="H83" i="5"/>
  <c r="G83" i="5"/>
  <c r="F83" i="5"/>
  <c r="H82" i="5"/>
  <c r="G82" i="5"/>
  <c r="F82" i="5"/>
  <c r="H81" i="5"/>
  <c r="G81" i="5"/>
  <c r="F81" i="5"/>
  <c r="H80" i="5"/>
  <c r="G80" i="5"/>
  <c r="F80" i="5"/>
  <c r="H79" i="5"/>
  <c r="G79" i="5"/>
  <c r="F79" i="5"/>
  <c r="H78" i="5"/>
  <c r="G78" i="5"/>
  <c r="F78" i="5"/>
  <c r="H77" i="5"/>
  <c r="G77" i="5"/>
  <c r="F77" i="5"/>
  <c r="H76" i="5"/>
  <c r="G76" i="5"/>
  <c r="F76" i="5"/>
  <c r="H75" i="5"/>
  <c r="G75" i="5"/>
  <c r="F75" i="5"/>
  <c r="H74" i="5"/>
  <c r="G74" i="5"/>
  <c r="F74" i="5"/>
  <c r="H73" i="5"/>
  <c r="G73" i="5"/>
  <c r="F73" i="5"/>
  <c r="H72" i="5"/>
  <c r="G72" i="5"/>
  <c r="F72" i="5"/>
  <c r="H71" i="5"/>
  <c r="G71" i="5"/>
  <c r="F71" i="5"/>
  <c r="H70" i="5"/>
  <c r="G70" i="5"/>
  <c r="F70" i="5"/>
  <c r="H69" i="5"/>
  <c r="G69" i="5"/>
  <c r="F69" i="5"/>
  <c r="H68" i="5"/>
  <c r="G68" i="5"/>
  <c r="F68" i="5"/>
  <c r="H67" i="5"/>
  <c r="G67" i="5"/>
  <c r="F67" i="5"/>
  <c r="H66" i="5"/>
  <c r="G66" i="5"/>
  <c r="F66" i="5"/>
  <c r="H65" i="5"/>
  <c r="G65" i="5"/>
  <c r="F65" i="5"/>
  <c r="H64" i="5"/>
  <c r="G64" i="5"/>
  <c r="F64" i="5"/>
  <c r="H63" i="5"/>
  <c r="G63" i="5"/>
  <c r="F63" i="5"/>
  <c r="H62" i="5"/>
  <c r="G62" i="5"/>
  <c r="F62" i="5"/>
  <c r="H61" i="5"/>
  <c r="G61" i="5"/>
  <c r="F61" i="5"/>
  <c r="H60" i="5"/>
  <c r="G60" i="5"/>
  <c r="F60" i="5"/>
  <c r="H59" i="5"/>
  <c r="G59" i="5"/>
  <c r="F59" i="5"/>
  <c r="H58" i="5"/>
  <c r="G58" i="5"/>
  <c r="F58" i="5"/>
  <c r="H57" i="5"/>
  <c r="G57" i="5"/>
  <c r="F57" i="5"/>
  <c r="H56" i="5"/>
  <c r="G56" i="5"/>
  <c r="F56" i="5"/>
  <c r="H55" i="5"/>
  <c r="G55" i="5"/>
  <c r="F55" i="5"/>
  <c r="H54" i="5"/>
  <c r="G54" i="5"/>
  <c r="F54" i="5"/>
  <c r="H53" i="5"/>
  <c r="G53" i="5"/>
  <c r="F53" i="5"/>
  <c r="H52" i="5"/>
  <c r="G52" i="5"/>
  <c r="F52" i="5"/>
  <c r="H51" i="5"/>
  <c r="G51" i="5"/>
  <c r="F51" i="5"/>
  <c r="H50" i="5"/>
  <c r="G50" i="5"/>
  <c r="F50" i="5"/>
  <c r="H49" i="5"/>
  <c r="G49" i="5"/>
  <c r="F49" i="5"/>
  <c r="H48" i="5"/>
  <c r="G48" i="5"/>
  <c r="F48" i="5"/>
  <c r="H47" i="5"/>
  <c r="G47" i="5"/>
  <c r="F47" i="5"/>
  <c r="H46" i="5"/>
  <c r="G46" i="5"/>
  <c r="F46" i="5"/>
  <c r="H45" i="5"/>
  <c r="G45" i="5"/>
  <c r="F45" i="5"/>
  <c r="H44" i="5"/>
  <c r="G44" i="5"/>
  <c r="F44" i="5"/>
  <c r="H43" i="5"/>
  <c r="G43" i="5"/>
  <c r="F43" i="5"/>
  <c r="H42" i="5"/>
  <c r="G42" i="5"/>
  <c r="F42" i="5"/>
  <c r="H41" i="5"/>
  <c r="G41" i="5"/>
  <c r="F41" i="5"/>
  <c r="H40" i="5"/>
  <c r="G40" i="5"/>
  <c r="F40" i="5"/>
  <c r="H39" i="5"/>
  <c r="G39" i="5"/>
  <c r="F39" i="5"/>
  <c r="H38" i="5"/>
  <c r="G38" i="5"/>
  <c r="F38" i="5"/>
  <c r="H37" i="5"/>
  <c r="G37" i="5"/>
  <c r="F37" i="5"/>
  <c r="H36" i="5"/>
  <c r="G36" i="5"/>
  <c r="F36" i="5"/>
  <c r="H35" i="5"/>
  <c r="G35" i="5"/>
  <c r="F35" i="5"/>
  <c r="H34" i="5"/>
  <c r="G34" i="5"/>
  <c r="F34" i="5"/>
  <c r="H33" i="5"/>
  <c r="G33" i="5"/>
  <c r="F33" i="5"/>
  <c r="H32" i="5"/>
  <c r="G32" i="5"/>
  <c r="F32" i="5"/>
  <c r="H31" i="5"/>
  <c r="G31" i="5"/>
  <c r="F31" i="5"/>
  <c r="H30" i="5"/>
  <c r="G30" i="5"/>
  <c r="F30" i="5"/>
  <c r="H29" i="5"/>
  <c r="G29" i="5"/>
  <c r="F29" i="5"/>
  <c r="H28" i="5"/>
  <c r="G28" i="5"/>
  <c r="F28" i="5"/>
  <c r="H27" i="5"/>
  <c r="G27" i="5"/>
  <c r="F27" i="5"/>
  <c r="H26" i="5"/>
  <c r="G26" i="5"/>
  <c r="F26" i="5"/>
  <c r="H25" i="5"/>
  <c r="G25" i="5"/>
  <c r="F25" i="5"/>
  <c r="H24" i="5"/>
  <c r="G24" i="5"/>
  <c r="F24" i="5"/>
  <c r="H23" i="5"/>
  <c r="G23" i="5"/>
  <c r="F23" i="5"/>
  <c r="H22" i="5"/>
  <c r="G22" i="5"/>
  <c r="F22" i="5"/>
  <c r="H21" i="5"/>
  <c r="G21" i="5"/>
  <c r="F21" i="5"/>
  <c r="H20" i="5"/>
  <c r="G20" i="5"/>
  <c r="F20" i="5"/>
  <c r="H19" i="5"/>
  <c r="G19" i="5"/>
  <c r="F19" i="5"/>
  <c r="H18" i="5"/>
  <c r="G18" i="5"/>
  <c r="F18" i="5"/>
  <c r="H17" i="5"/>
  <c r="G17" i="5"/>
  <c r="F17" i="5"/>
  <c r="H16" i="5"/>
  <c r="G16" i="5"/>
  <c r="F16" i="5"/>
  <c r="H15" i="5"/>
  <c r="G15" i="5"/>
  <c r="F15" i="5"/>
  <c r="H14" i="5"/>
  <c r="G14" i="5"/>
  <c r="F14" i="5"/>
  <c r="H13" i="5"/>
  <c r="G13" i="5"/>
  <c r="F13" i="5"/>
  <c r="H12" i="5"/>
  <c r="G12" i="5"/>
  <c r="F12" i="5"/>
  <c r="H11" i="5"/>
  <c r="G11" i="5"/>
  <c r="F11" i="5"/>
  <c r="H10" i="5"/>
  <c r="G10" i="5"/>
  <c r="F10" i="5"/>
  <c r="H9" i="5"/>
  <c r="G9" i="5"/>
  <c r="F9" i="5"/>
  <c r="H8" i="5"/>
  <c r="G8" i="5"/>
  <c r="F8" i="5"/>
  <c r="H7" i="5"/>
  <c r="G7" i="5"/>
  <c r="F7" i="5"/>
  <c r="H6" i="5"/>
  <c r="G6" i="5"/>
  <c r="F6" i="5"/>
  <c r="H5" i="5"/>
  <c r="G5" i="5"/>
  <c r="F5" i="5"/>
  <c r="H4" i="5"/>
  <c r="G4" i="5"/>
  <c r="F4" i="5"/>
  <c r="H3" i="5"/>
  <c r="G3" i="5"/>
  <c r="F3" i="5"/>
  <c r="H2" i="5"/>
  <c r="G2" i="5"/>
  <c r="F2" i="5"/>
  <c r="D10" i="3"/>
  <c r="A10" i="3"/>
  <c r="G6" i="3"/>
  <c r="F6" i="3"/>
  <c r="G10" i="3" s="1"/>
  <c r="E6" i="3"/>
  <c r="G5" i="3"/>
  <c r="F5" i="3"/>
  <c r="E5" i="3"/>
  <c r="F4" i="3"/>
  <c r="E4" i="3"/>
  <c r="H391" i="2"/>
  <c r="G391" i="2"/>
  <c r="F391" i="2"/>
  <c r="H390" i="2"/>
  <c r="G390" i="2"/>
  <c r="F390" i="2"/>
  <c r="H389" i="2"/>
  <c r="G389" i="2"/>
  <c r="F389" i="2"/>
  <c r="H388" i="2"/>
  <c r="G388" i="2"/>
  <c r="F388" i="2"/>
  <c r="H387" i="2"/>
  <c r="G387" i="2"/>
  <c r="F387" i="2"/>
  <c r="H386" i="2"/>
  <c r="G386" i="2"/>
  <c r="F386" i="2"/>
  <c r="H385" i="2"/>
  <c r="G385" i="2"/>
  <c r="F385" i="2"/>
  <c r="H384" i="2"/>
  <c r="G384" i="2"/>
  <c r="F384" i="2"/>
  <c r="H383" i="2"/>
  <c r="G383" i="2"/>
  <c r="F383" i="2"/>
  <c r="H382" i="2"/>
  <c r="G382" i="2"/>
  <c r="F382" i="2"/>
  <c r="H381" i="2"/>
  <c r="G381" i="2"/>
  <c r="F381" i="2"/>
  <c r="H380" i="2"/>
  <c r="G380" i="2"/>
  <c r="F380" i="2"/>
  <c r="H379" i="2"/>
  <c r="G379" i="2"/>
  <c r="F379" i="2"/>
  <c r="H378" i="2"/>
  <c r="G378" i="2"/>
  <c r="F378" i="2"/>
  <c r="H377" i="2"/>
  <c r="G377" i="2"/>
  <c r="F377" i="2"/>
  <c r="H376" i="2"/>
  <c r="G376" i="2"/>
  <c r="F376" i="2"/>
  <c r="H375" i="2"/>
  <c r="G375" i="2"/>
  <c r="F375" i="2"/>
  <c r="H374" i="2"/>
  <c r="G374" i="2"/>
  <c r="F374" i="2"/>
  <c r="H373" i="2"/>
  <c r="G373" i="2"/>
  <c r="F373" i="2"/>
  <c r="H372" i="2"/>
  <c r="G372" i="2"/>
  <c r="F372" i="2"/>
  <c r="H371" i="2"/>
  <c r="G371" i="2"/>
  <c r="F371" i="2"/>
  <c r="H370" i="2"/>
  <c r="G370" i="2"/>
  <c r="F370" i="2"/>
  <c r="H369" i="2"/>
  <c r="G369" i="2"/>
  <c r="F369" i="2"/>
  <c r="H368" i="2"/>
  <c r="G368" i="2"/>
  <c r="F368" i="2"/>
  <c r="H367" i="2"/>
  <c r="G367" i="2"/>
  <c r="F367" i="2"/>
  <c r="H366" i="2"/>
  <c r="G366" i="2"/>
  <c r="F366" i="2"/>
  <c r="H365" i="2"/>
  <c r="G365" i="2"/>
  <c r="F365" i="2"/>
  <c r="H364" i="2"/>
  <c r="G364" i="2"/>
  <c r="F364" i="2"/>
  <c r="H363" i="2"/>
  <c r="G363" i="2"/>
  <c r="F363" i="2"/>
  <c r="H362" i="2"/>
  <c r="G362" i="2"/>
  <c r="F362" i="2"/>
  <c r="H361" i="2"/>
  <c r="G361" i="2"/>
  <c r="F361" i="2"/>
  <c r="H360" i="2"/>
  <c r="G360" i="2"/>
  <c r="F360" i="2"/>
  <c r="H359" i="2"/>
  <c r="G359" i="2"/>
  <c r="F359" i="2"/>
  <c r="H358" i="2"/>
  <c r="G358" i="2"/>
  <c r="F358" i="2"/>
  <c r="H357" i="2"/>
  <c r="G357" i="2"/>
  <c r="F357" i="2"/>
  <c r="H356" i="2"/>
  <c r="G356" i="2"/>
  <c r="F356" i="2"/>
  <c r="H355" i="2"/>
  <c r="G355" i="2"/>
  <c r="F355" i="2"/>
  <c r="H354" i="2"/>
  <c r="G354" i="2"/>
  <c r="F354" i="2"/>
  <c r="H353" i="2"/>
  <c r="G353" i="2"/>
  <c r="F353" i="2"/>
  <c r="H352" i="2"/>
  <c r="G352" i="2"/>
  <c r="F352" i="2"/>
  <c r="H351" i="2"/>
  <c r="G351" i="2"/>
  <c r="F351" i="2"/>
  <c r="H350" i="2"/>
  <c r="G350" i="2"/>
  <c r="F350" i="2"/>
  <c r="H349" i="2"/>
  <c r="G349" i="2"/>
  <c r="F349" i="2"/>
  <c r="H348" i="2"/>
  <c r="G348" i="2"/>
  <c r="F348" i="2"/>
  <c r="H347" i="2"/>
  <c r="G347" i="2"/>
  <c r="F347" i="2"/>
  <c r="H346" i="2"/>
  <c r="G346" i="2"/>
  <c r="F346" i="2"/>
  <c r="H345" i="2"/>
  <c r="G345" i="2"/>
  <c r="F345" i="2"/>
  <c r="H344" i="2"/>
  <c r="G344" i="2"/>
  <c r="F344" i="2"/>
  <c r="H343" i="2"/>
  <c r="G343" i="2"/>
  <c r="F343" i="2"/>
  <c r="H342" i="2"/>
  <c r="G342" i="2"/>
  <c r="F342" i="2"/>
  <c r="H341" i="2"/>
  <c r="G341" i="2"/>
  <c r="F341" i="2"/>
  <c r="H340" i="2"/>
  <c r="G340" i="2"/>
  <c r="F340" i="2"/>
  <c r="H339" i="2"/>
  <c r="G339" i="2"/>
  <c r="F339" i="2"/>
  <c r="H338" i="2"/>
  <c r="G338" i="2"/>
  <c r="F338" i="2"/>
  <c r="H337" i="2"/>
  <c r="G337" i="2"/>
  <c r="F337" i="2"/>
  <c r="H336" i="2"/>
  <c r="G336" i="2"/>
  <c r="F336" i="2"/>
  <c r="H335" i="2"/>
  <c r="G335" i="2"/>
  <c r="F335" i="2"/>
  <c r="H334" i="2"/>
  <c r="G334" i="2"/>
  <c r="F334" i="2"/>
  <c r="H333" i="2"/>
  <c r="G333" i="2"/>
  <c r="F333" i="2"/>
  <c r="H332" i="2"/>
  <c r="G332" i="2"/>
  <c r="F332" i="2"/>
  <c r="H331" i="2"/>
  <c r="G331" i="2"/>
  <c r="F331" i="2"/>
  <c r="H330" i="2"/>
  <c r="G330" i="2"/>
  <c r="F330" i="2"/>
  <c r="H329" i="2"/>
  <c r="G329" i="2"/>
  <c r="F329" i="2"/>
  <c r="H328" i="2"/>
  <c r="G328" i="2"/>
  <c r="F328" i="2"/>
  <c r="H327" i="2"/>
  <c r="G327" i="2"/>
  <c r="F327" i="2"/>
  <c r="H326" i="2"/>
  <c r="G326" i="2"/>
  <c r="F326" i="2"/>
  <c r="H325" i="2"/>
  <c r="G325" i="2"/>
  <c r="F325" i="2"/>
  <c r="H324" i="2"/>
  <c r="G324" i="2"/>
  <c r="F324" i="2"/>
  <c r="H323" i="2"/>
  <c r="G323" i="2"/>
  <c r="F323" i="2"/>
  <c r="H322" i="2"/>
  <c r="G322" i="2"/>
  <c r="F322" i="2"/>
  <c r="H321" i="2"/>
  <c r="G321" i="2"/>
  <c r="F321" i="2"/>
  <c r="H320" i="2"/>
  <c r="G320" i="2"/>
  <c r="F320" i="2"/>
  <c r="H319" i="2"/>
  <c r="G319" i="2"/>
  <c r="F319" i="2"/>
  <c r="H318" i="2"/>
  <c r="G318" i="2"/>
  <c r="F318" i="2"/>
  <c r="H317" i="2"/>
  <c r="G317" i="2"/>
  <c r="F317" i="2"/>
  <c r="H316" i="2"/>
  <c r="G316" i="2"/>
  <c r="F316" i="2"/>
  <c r="H315" i="2"/>
  <c r="G315" i="2"/>
  <c r="F315" i="2"/>
  <c r="H314" i="2"/>
  <c r="G314" i="2"/>
  <c r="F314" i="2"/>
  <c r="H313" i="2"/>
  <c r="G313" i="2"/>
  <c r="F313" i="2"/>
  <c r="H312" i="2"/>
  <c r="G312" i="2"/>
  <c r="F312" i="2"/>
  <c r="H311" i="2"/>
  <c r="G311" i="2"/>
  <c r="F311" i="2"/>
  <c r="H310" i="2"/>
  <c r="G310" i="2"/>
  <c r="F310" i="2"/>
  <c r="H309" i="2"/>
  <c r="G309" i="2"/>
  <c r="F309" i="2"/>
  <c r="H308" i="2"/>
  <c r="G308" i="2"/>
  <c r="F308" i="2"/>
  <c r="H307" i="2"/>
  <c r="G307" i="2"/>
  <c r="F307" i="2"/>
  <c r="H306" i="2"/>
  <c r="G306" i="2"/>
  <c r="F306" i="2"/>
  <c r="H305" i="2"/>
  <c r="G305" i="2"/>
  <c r="F305" i="2"/>
  <c r="H304" i="2"/>
  <c r="G304" i="2"/>
  <c r="F304" i="2"/>
  <c r="H303" i="2"/>
  <c r="G303" i="2"/>
  <c r="F303" i="2"/>
  <c r="H302" i="2"/>
  <c r="G302" i="2"/>
  <c r="F302" i="2"/>
  <c r="H301" i="2"/>
  <c r="G301" i="2"/>
  <c r="F301" i="2"/>
  <c r="H300" i="2"/>
  <c r="G300" i="2"/>
  <c r="F300" i="2"/>
  <c r="H299" i="2"/>
  <c r="G299" i="2"/>
  <c r="F299" i="2"/>
  <c r="H298" i="2"/>
  <c r="G298" i="2"/>
  <c r="F298" i="2"/>
  <c r="H297" i="2"/>
  <c r="G297" i="2"/>
  <c r="F297" i="2"/>
  <c r="H296" i="2"/>
  <c r="G296" i="2"/>
  <c r="F296" i="2"/>
  <c r="H295" i="2"/>
  <c r="G295" i="2"/>
  <c r="F295" i="2"/>
  <c r="H294" i="2"/>
  <c r="G294" i="2"/>
  <c r="F294" i="2"/>
  <c r="H293" i="2"/>
  <c r="G293" i="2"/>
  <c r="F293" i="2"/>
  <c r="H292" i="2"/>
  <c r="G292" i="2"/>
  <c r="F292" i="2"/>
  <c r="H291" i="2"/>
  <c r="G291" i="2"/>
  <c r="F291" i="2"/>
  <c r="H290" i="2"/>
  <c r="G290" i="2"/>
  <c r="F290" i="2"/>
  <c r="H289" i="2"/>
  <c r="G289" i="2"/>
  <c r="F289" i="2"/>
  <c r="H288" i="2"/>
  <c r="G288" i="2"/>
  <c r="F288" i="2"/>
  <c r="H287" i="2"/>
  <c r="G287" i="2"/>
  <c r="F287" i="2"/>
  <c r="H286" i="2"/>
  <c r="G286" i="2"/>
  <c r="F286" i="2"/>
  <c r="H285" i="2"/>
  <c r="G285" i="2"/>
  <c r="F285" i="2"/>
  <c r="H284" i="2"/>
  <c r="G284" i="2"/>
  <c r="F284" i="2"/>
  <c r="H283" i="2"/>
  <c r="G283" i="2"/>
  <c r="F283" i="2"/>
  <c r="H282" i="2"/>
  <c r="G282" i="2"/>
  <c r="F282" i="2"/>
  <c r="H281" i="2"/>
  <c r="G281" i="2"/>
  <c r="F281" i="2"/>
  <c r="H280" i="2"/>
  <c r="G280" i="2"/>
  <c r="F280" i="2"/>
  <c r="H279" i="2"/>
  <c r="G279" i="2"/>
  <c r="F279" i="2"/>
  <c r="H278" i="2"/>
  <c r="G278" i="2"/>
  <c r="F278" i="2"/>
  <c r="H277" i="2"/>
  <c r="G277" i="2"/>
  <c r="F277" i="2"/>
  <c r="H276" i="2"/>
  <c r="G276" i="2"/>
  <c r="F276" i="2"/>
  <c r="H275" i="2"/>
  <c r="G275" i="2"/>
  <c r="F275" i="2"/>
  <c r="H274" i="2"/>
  <c r="G274" i="2"/>
  <c r="F274" i="2"/>
  <c r="H273" i="2"/>
  <c r="G273" i="2"/>
  <c r="F273" i="2"/>
  <c r="H272" i="2"/>
  <c r="G272" i="2"/>
  <c r="F272" i="2"/>
  <c r="H271" i="2"/>
  <c r="G271" i="2"/>
  <c r="F271" i="2"/>
  <c r="H270" i="2"/>
  <c r="G270" i="2"/>
  <c r="F270" i="2"/>
  <c r="H269" i="2"/>
  <c r="G269" i="2"/>
  <c r="F269" i="2"/>
  <c r="H268" i="2"/>
  <c r="G268" i="2"/>
  <c r="F268" i="2"/>
  <c r="H267" i="2"/>
  <c r="G267" i="2"/>
  <c r="F267" i="2"/>
  <c r="H266" i="2"/>
  <c r="G266" i="2"/>
  <c r="F266" i="2"/>
  <c r="H265" i="2"/>
  <c r="G265" i="2"/>
  <c r="F265" i="2"/>
  <c r="H264" i="2"/>
  <c r="G264" i="2"/>
  <c r="F264" i="2"/>
  <c r="H263" i="2"/>
  <c r="G263" i="2"/>
  <c r="F263" i="2"/>
  <c r="H262" i="2"/>
  <c r="G262" i="2"/>
  <c r="F262" i="2"/>
  <c r="H261" i="2"/>
  <c r="G261" i="2"/>
  <c r="F261" i="2"/>
  <c r="H260" i="2"/>
  <c r="G260" i="2"/>
  <c r="F260" i="2"/>
  <c r="H259" i="2"/>
  <c r="G259" i="2"/>
  <c r="F259" i="2"/>
  <c r="H258" i="2"/>
  <c r="G258" i="2"/>
  <c r="F258" i="2"/>
  <c r="H257" i="2"/>
  <c r="G257" i="2"/>
  <c r="F257" i="2"/>
  <c r="H256" i="2"/>
  <c r="G256" i="2"/>
  <c r="F256" i="2"/>
  <c r="H255" i="2"/>
  <c r="G255" i="2"/>
  <c r="F255" i="2"/>
  <c r="H254" i="2"/>
  <c r="G254" i="2"/>
  <c r="F254" i="2"/>
  <c r="H253" i="2"/>
  <c r="G253" i="2"/>
  <c r="F253" i="2"/>
  <c r="H252" i="2"/>
  <c r="G252" i="2"/>
  <c r="F252" i="2"/>
  <c r="H251" i="2"/>
  <c r="G251" i="2"/>
  <c r="F251" i="2"/>
  <c r="H250" i="2"/>
  <c r="G250" i="2"/>
  <c r="F250" i="2"/>
  <c r="H249" i="2"/>
  <c r="G249" i="2"/>
  <c r="F249" i="2"/>
  <c r="H248" i="2"/>
  <c r="G248" i="2"/>
  <c r="F248" i="2"/>
  <c r="H247" i="2"/>
  <c r="G247" i="2"/>
  <c r="F247" i="2"/>
  <c r="H246" i="2"/>
  <c r="G246" i="2"/>
  <c r="F246" i="2"/>
  <c r="H245" i="2"/>
  <c r="G245" i="2"/>
  <c r="F245" i="2"/>
  <c r="H244" i="2"/>
  <c r="G244" i="2"/>
  <c r="F244" i="2"/>
  <c r="H243" i="2"/>
  <c r="G243" i="2"/>
  <c r="F243" i="2"/>
  <c r="H242" i="2"/>
  <c r="G242" i="2"/>
  <c r="F242" i="2"/>
  <c r="H241" i="2"/>
  <c r="G241" i="2"/>
  <c r="F241" i="2"/>
  <c r="H240" i="2"/>
  <c r="G240" i="2"/>
  <c r="F240" i="2"/>
  <c r="H239" i="2"/>
  <c r="G239" i="2"/>
  <c r="F239" i="2"/>
  <c r="H238" i="2"/>
  <c r="G238" i="2"/>
  <c r="F238" i="2"/>
  <c r="H237" i="2"/>
  <c r="G237" i="2"/>
  <c r="F237" i="2"/>
  <c r="H236" i="2"/>
  <c r="G236" i="2"/>
  <c r="F236" i="2"/>
  <c r="H235" i="2"/>
  <c r="G235" i="2"/>
  <c r="F235" i="2"/>
  <c r="H234" i="2"/>
  <c r="G234" i="2"/>
  <c r="F234" i="2"/>
  <c r="H233" i="2"/>
  <c r="G233" i="2"/>
  <c r="F233" i="2"/>
  <c r="H232" i="2"/>
  <c r="G232" i="2"/>
  <c r="F232" i="2"/>
  <c r="H231" i="2"/>
  <c r="G231" i="2"/>
  <c r="F231" i="2"/>
  <c r="H230" i="2"/>
  <c r="G230" i="2"/>
  <c r="F230" i="2"/>
  <c r="H229" i="2"/>
  <c r="G229" i="2"/>
  <c r="F229" i="2"/>
  <c r="H228" i="2"/>
  <c r="G228" i="2"/>
  <c r="F228" i="2"/>
  <c r="H227" i="2"/>
  <c r="G227" i="2"/>
  <c r="F227" i="2"/>
  <c r="H226" i="2"/>
  <c r="G226" i="2"/>
  <c r="F226" i="2"/>
  <c r="H225" i="2"/>
  <c r="G225" i="2"/>
  <c r="F225" i="2"/>
  <c r="H224" i="2"/>
  <c r="G224" i="2"/>
  <c r="F224" i="2"/>
  <c r="H223" i="2"/>
  <c r="G223" i="2"/>
  <c r="F223" i="2"/>
  <c r="H222" i="2"/>
  <c r="G222" i="2"/>
  <c r="F222" i="2"/>
  <c r="H221" i="2"/>
  <c r="G221" i="2"/>
  <c r="F221" i="2"/>
  <c r="H220" i="2"/>
  <c r="G220" i="2"/>
  <c r="F220" i="2"/>
  <c r="H219" i="2"/>
  <c r="G219" i="2"/>
  <c r="F219" i="2"/>
  <c r="H218" i="2"/>
  <c r="G218" i="2"/>
  <c r="F218" i="2"/>
  <c r="H217" i="2"/>
  <c r="G217" i="2"/>
  <c r="F217" i="2"/>
  <c r="H216" i="2"/>
  <c r="G216" i="2"/>
  <c r="F216" i="2"/>
  <c r="H215" i="2"/>
  <c r="G215" i="2"/>
  <c r="F215" i="2"/>
  <c r="H214" i="2"/>
  <c r="G214" i="2"/>
  <c r="F214" i="2"/>
  <c r="H213" i="2"/>
  <c r="G213" i="2"/>
  <c r="F213" i="2"/>
  <c r="H212" i="2"/>
  <c r="G212" i="2"/>
  <c r="F212" i="2"/>
  <c r="H211" i="2"/>
  <c r="G211" i="2"/>
  <c r="F211" i="2"/>
  <c r="H210" i="2"/>
  <c r="G210" i="2"/>
  <c r="F210" i="2"/>
  <c r="H209" i="2"/>
  <c r="G209" i="2"/>
  <c r="F209" i="2"/>
  <c r="H208" i="2"/>
  <c r="G208" i="2"/>
  <c r="F208" i="2"/>
  <c r="H207" i="2"/>
  <c r="G207" i="2"/>
  <c r="F207" i="2"/>
  <c r="H206" i="2"/>
  <c r="G206" i="2"/>
  <c r="F206" i="2"/>
  <c r="H205" i="2"/>
  <c r="G205" i="2"/>
  <c r="F205" i="2"/>
  <c r="H204" i="2"/>
  <c r="G204" i="2"/>
  <c r="F204" i="2"/>
  <c r="H203" i="2"/>
  <c r="G203" i="2"/>
  <c r="F203" i="2"/>
  <c r="H202" i="2"/>
  <c r="G202" i="2"/>
  <c r="F202" i="2"/>
  <c r="H201" i="2"/>
  <c r="G201" i="2"/>
  <c r="F201" i="2"/>
  <c r="H200" i="2"/>
  <c r="G200" i="2"/>
  <c r="F200" i="2"/>
  <c r="H199" i="2"/>
  <c r="G199" i="2"/>
  <c r="F199" i="2"/>
  <c r="H198" i="2"/>
  <c r="G198" i="2"/>
  <c r="F198" i="2"/>
  <c r="H197" i="2"/>
  <c r="G197" i="2"/>
  <c r="F197" i="2"/>
  <c r="H196" i="2"/>
  <c r="G196" i="2"/>
  <c r="F196" i="2"/>
  <c r="H195" i="2"/>
  <c r="G195" i="2"/>
  <c r="F195" i="2"/>
  <c r="H194" i="2"/>
  <c r="G194" i="2"/>
  <c r="F194" i="2"/>
  <c r="H193" i="2"/>
  <c r="G193" i="2"/>
  <c r="F193" i="2"/>
  <c r="H192" i="2"/>
  <c r="G192" i="2"/>
  <c r="F192" i="2"/>
  <c r="H191" i="2"/>
  <c r="G191" i="2"/>
  <c r="F191" i="2"/>
  <c r="H190" i="2"/>
  <c r="G190" i="2"/>
  <c r="F190" i="2"/>
  <c r="H189" i="2"/>
  <c r="G189" i="2"/>
  <c r="F189" i="2"/>
  <c r="H188" i="2"/>
  <c r="G188" i="2"/>
  <c r="F188" i="2"/>
  <c r="H187" i="2"/>
  <c r="G187" i="2"/>
  <c r="F187" i="2"/>
  <c r="H186" i="2"/>
  <c r="G186" i="2"/>
  <c r="F186" i="2"/>
  <c r="H185" i="2"/>
  <c r="G185" i="2"/>
  <c r="F185" i="2"/>
  <c r="H184" i="2"/>
  <c r="G184" i="2"/>
  <c r="F184" i="2"/>
  <c r="H183" i="2"/>
  <c r="G183" i="2"/>
  <c r="F183" i="2"/>
  <c r="H182" i="2"/>
  <c r="G182" i="2"/>
  <c r="F182" i="2"/>
  <c r="H181" i="2"/>
  <c r="G181" i="2"/>
  <c r="F181" i="2"/>
  <c r="H180" i="2"/>
  <c r="G180" i="2"/>
  <c r="F180" i="2"/>
  <c r="H179" i="2"/>
  <c r="G179" i="2"/>
  <c r="F179" i="2"/>
  <c r="H178" i="2"/>
  <c r="G178" i="2"/>
  <c r="F178" i="2"/>
  <c r="H177" i="2"/>
  <c r="G177" i="2"/>
  <c r="F177" i="2"/>
  <c r="H176" i="2"/>
  <c r="G176" i="2"/>
  <c r="F176" i="2"/>
  <c r="H175" i="2"/>
  <c r="G175" i="2"/>
  <c r="F175" i="2"/>
  <c r="H174" i="2"/>
  <c r="G174" i="2"/>
  <c r="F174" i="2"/>
  <c r="H173" i="2"/>
  <c r="G173" i="2"/>
  <c r="F173" i="2"/>
  <c r="H172" i="2"/>
  <c r="G172" i="2"/>
  <c r="F172" i="2"/>
  <c r="H171" i="2"/>
  <c r="G171" i="2"/>
  <c r="F171" i="2"/>
  <c r="H170" i="2"/>
  <c r="G170" i="2"/>
  <c r="F170" i="2"/>
  <c r="H169" i="2"/>
  <c r="G169" i="2"/>
  <c r="F169" i="2"/>
  <c r="H168" i="2"/>
  <c r="G168" i="2"/>
  <c r="F168" i="2"/>
  <c r="H167" i="2"/>
  <c r="G167" i="2"/>
  <c r="F167" i="2"/>
  <c r="H166" i="2"/>
  <c r="G166" i="2"/>
  <c r="F166" i="2"/>
  <c r="H165" i="2"/>
  <c r="G165" i="2"/>
  <c r="F165" i="2"/>
  <c r="H164" i="2"/>
  <c r="G164" i="2"/>
  <c r="F164" i="2"/>
  <c r="H163" i="2"/>
  <c r="G163" i="2"/>
  <c r="F163" i="2"/>
  <c r="H162" i="2"/>
  <c r="G162" i="2"/>
  <c r="F162" i="2"/>
  <c r="H161" i="2"/>
  <c r="G161" i="2"/>
  <c r="F161" i="2"/>
  <c r="H160" i="2"/>
  <c r="G160" i="2"/>
  <c r="F160" i="2"/>
  <c r="H159" i="2"/>
  <c r="G159" i="2"/>
  <c r="F159" i="2"/>
  <c r="H158" i="2"/>
  <c r="G158" i="2"/>
  <c r="F158" i="2"/>
  <c r="H157" i="2"/>
  <c r="G157" i="2"/>
  <c r="F157" i="2"/>
  <c r="H156" i="2"/>
  <c r="G156" i="2"/>
  <c r="F156" i="2"/>
  <c r="H155" i="2"/>
  <c r="G155" i="2"/>
  <c r="F155" i="2"/>
  <c r="H154" i="2"/>
  <c r="G154" i="2"/>
  <c r="F154" i="2"/>
  <c r="H153" i="2"/>
  <c r="G153" i="2"/>
  <c r="F153" i="2"/>
  <c r="H152" i="2"/>
  <c r="G152" i="2"/>
  <c r="F152" i="2"/>
  <c r="H151" i="2"/>
  <c r="G151" i="2"/>
  <c r="F151" i="2"/>
  <c r="H150" i="2"/>
  <c r="G150" i="2"/>
  <c r="F150" i="2"/>
  <c r="H149" i="2"/>
  <c r="G149" i="2"/>
  <c r="F149" i="2"/>
  <c r="H148" i="2"/>
  <c r="G148" i="2"/>
  <c r="F148" i="2"/>
  <c r="H147" i="2"/>
  <c r="G147" i="2"/>
  <c r="F147" i="2"/>
  <c r="H146" i="2"/>
  <c r="G146" i="2"/>
  <c r="F146" i="2"/>
  <c r="H145" i="2"/>
  <c r="G145" i="2"/>
  <c r="F145" i="2"/>
  <c r="H144" i="2"/>
  <c r="G144" i="2"/>
  <c r="F144" i="2"/>
  <c r="H143" i="2"/>
  <c r="G143" i="2"/>
  <c r="F143" i="2"/>
  <c r="H142" i="2"/>
  <c r="G142" i="2"/>
  <c r="F142" i="2"/>
  <c r="H141" i="2"/>
  <c r="G141" i="2"/>
  <c r="F141" i="2"/>
  <c r="H140" i="2"/>
  <c r="G140" i="2"/>
  <c r="F140" i="2"/>
  <c r="H139" i="2"/>
  <c r="G139" i="2"/>
  <c r="F139" i="2"/>
  <c r="H138" i="2"/>
  <c r="G138" i="2"/>
  <c r="F138" i="2"/>
  <c r="H137" i="2"/>
  <c r="G137" i="2"/>
  <c r="F137" i="2"/>
  <c r="H136" i="2"/>
  <c r="G136" i="2"/>
  <c r="F136" i="2"/>
  <c r="H135" i="2"/>
  <c r="G135" i="2"/>
  <c r="F135" i="2"/>
  <c r="H134" i="2"/>
  <c r="G134" i="2"/>
  <c r="F134" i="2"/>
  <c r="H133" i="2"/>
  <c r="G133" i="2"/>
  <c r="F133" i="2"/>
  <c r="H132" i="2"/>
  <c r="G132" i="2"/>
  <c r="F132" i="2"/>
  <c r="H131" i="2"/>
  <c r="G131" i="2"/>
  <c r="F131" i="2"/>
  <c r="H130" i="2"/>
  <c r="G130" i="2"/>
  <c r="F130" i="2"/>
  <c r="H129" i="2"/>
  <c r="G129" i="2"/>
  <c r="F129" i="2"/>
  <c r="H128" i="2"/>
  <c r="G128" i="2"/>
  <c r="F128" i="2"/>
  <c r="H127" i="2"/>
  <c r="G127" i="2"/>
  <c r="F127" i="2"/>
  <c r="H126" i="2"/>
  <c r="G126" i="2"/>
  <c r="F126" i="2"/>
  <c r="H125" i="2"/>
  <c r="G125" i="2"/>
  <c r="F125" i="2"/>
  <c r="H124" i="2"/>
  <c r="G124" i="2"/>
  <c r="F124" i="2"/>
  <c r="H123" i="2"/>
  <c r="G123" i="2"/>
  <c r="F123" i="2"/>
  <c r="H122" i="2"/>
  <c r="G122" i="2"/>
  <c r="F122" i="2"/>
  <c r="H121" i="2"/>
  <c r="G121" i="2"/>
  <c r="F121" i="2"/>
  <c r="H120" i="2"/>
  <c r="G120" i="2"/>
  <c r="F120" i="2"/>
  <c r="H119" i="2"/>
  <c r="G119" i="2"/>
  <c r="F119" i="2"/>
  <c r="H118" i="2"/>
  <c r="G118" i="2"/>
  <c r="F118" i="2"/>
  <c r="H117" i="2"/>
  <c r="G117" i="2"/>
  <c r="F117" i="2"/>
  <c r="H116" i="2"/>
  <c r="G116" i="2"/>
  <c r="F116" i="2"/>
  <c r="H115" i="2"/>
  <c r="G115" i="2"/>
  <c r="F115" i="2"/>
  <c r="H114" i="2"/>
  <c r="G114" i="2"/>
  <c r="F114" i="2"/>
  <c r="H113" i="2"/>
  <c r="G113" i="2"/>
  <c r="F113" i="2"/>
  <c r="H112" i="2"/>
  <c r="G112" i="2"/>
  <c r="F112" i="2"/>
  <c r="H111" i="2"/>
  <c r="G111" i="2"/>
  <c r="F111" i="2"/>
  <c r="H110" i="2"/>
  <c r="G110" i="2"/>
  <c r="F110" i="2"/>
  <c r="H109" i="2"/>
  <c r="G109" i="2"/>
  <c r="F109" i="2"/>
  <c r="H108" i="2"/>
  <c r="G108" i="2"/>
  <c r="F108" i="2"/>
  <c r="H107" i="2"/>
  <c r="G107" i="2"/>
  <c r="F107" i="2"/>
  <c r="H106" i="2"/>
  <c r="G106" i="2"/>
  <c r="F106" i="2"/>
  <c r="H105" i="2"/>
  <c r="G105" i="2"/>
  <c r="F105" i="2"/>
  <c r="H104" i="2"/>
  <c r="G104" i="2"/>
  <c r="F104" i="2"/>
  <c r="H103" i="2"/>
  <c r="G103" i="2"/>
  <c r="F103" i="2"/>
  <c r="H102" i="2"/>
  <c r="G102" i="2"/>
  <c r="F102" i="2"/>
  <c r="H101" i="2"/>
  <c r="G101" i="2"/>
  <c r="F101" i="2"/>
  <c r="H100" i="2"/>
  <c r="G100" i="2"/>
  <c r="F100" i="2"/>
  <c r="H99" i="2"/>
  <c r="G99" i="2"/>
  <c r="F99" i="2"/>
  <c r="H98" i="2"/>
  <c r="G98" i="2"/>
  <c r="F98" i="2"/>
  <c r="H97" i="2"/>
  <c r="G97" i="2"/>
  <c r="F97" i="2"/>
  <c r="H96" i="2"/>
  <c r="G96" i="2"/>
  <c r="F96" i="2"/>
  <c r="H95" i="2"/>
  <c r="G95" i="2"/>
  <c r="F95" i="2"/>
  <c r="H94" i="2"/>
  <c r="G94" i="2"/>
  <c r="F94" i="2"/>
  <c r="H93" i="2"/>
  <c r="G93" i="2"/>
  <c r="F93" i="2"/>
  <c r="H92" i="2"/>
  <c r="G92" i="2"/>
  <c r="F92" i="2"/>
  <c r="H91" i="2"/>
  <c r="G91" i="2"/>
  <c r="F91" i="2"/>
  <c r="H90" i="2"/>
  <c r="G90" i="2"/>
  <c r="F90" i="2"/>
  <c r="H89" i="2"/>
  <c r="G89" i="2"/>
  <c r="F89" i="2"/>
  <c r="H88" i="2"/>
  <c r="G88" i="2"/>
  <c r="F88" i="2"/>
  <c r="H87" i="2"/>
  <c r="G87" i="2"/>
  <c r="F87" i="2"/>
  <c r="H86" i="2"/>
  <c r="G86" i="2"/>
  <c r="F86" i="2"/>
  <c r="H85" i="2"/>
  <c r="G85" i="2"/>
  <c r="F85" i="2"/>
  <c r="H84" i="2"/>
  <c r="G84" i="2"/>
  <c r="F84" i="2"/>
  <c r="H83" i="2"/>
  <c r="G83" i="2"/>
  <c r="F83" i="2"/>
  <c r="H82" i="2"/>
  <c r="G82" i="2"/>
  <c r="F82" i="2"/>
  <c r="H81" i="2"/>
  <c r="G81" i="2"/>
  <c r="F81" i="2"/>
  <c r="H80" i="2"/>
  <c r="G80" i="2"/>
  <c r="F80" i="2"/>
  <c r="H79" i="2"/>
  <c r="G79" i="2"/>
  <c r="F79" i="2"/>
  <c r="H78" i="2"/>
  <c r="G78" i="2"/>
  <c r="F78" i="2"/>
  <c r="H77" i="2"/>
  <c r="G77" i="2"/>
  <c r="F77" i="2"/>
  <c r="H76" i="2"/>
  <c r="G76" i="2"/>
  <c r="F76" i="2"/>
  <c r="H75" i="2"/>
  <c r="G75" i="2"/>
  <c r="F75" i="2"/>
  <c r="H74" i="2"/>
  <c r="G74" i="2"/>
  <c r="F74" i="2"/>
  <c r="H73" i="2"/>
  <c r="G73" i="2"/>
  <c r="F73" i="2"/>
  <c r="H72" i="2"/>
  <c r="G72" i="2"/>
  <c r="F72" i="2"/>
  <c r="H71" i="2"/>
  <c r="G71" i="2"/>
  <c r="F71" i="2"/>
  <c r="H70" i="2"/>
  <c r="G70" i="2"/>
  <c r="F70" i="2"/>
  <c r="H69" i="2"/>
  <c r="G69" i="2"/>
  <c r="F69" i="2"/>
  <c r="H68" i="2"/>
  <c r="G68" i="2"/>
  <c r="F68" i="2"/>
  <c r="H67" i="2"/>
  <c r="G67" i="2"/>
  <c r="F67" i="2"/>
  <c r="H66" i="2"/>
  <c r="G66" i="2"/>
  <c r="F66" i="2"/>
  <c r="H65" i="2"/>
  <c r="G65" i="2"/>
  <c r="F65" i="2"/>
  <c r="H64" i="2"/>
  <c r="G64" i="2"/>
  <c r="F64" i="2"/>
  <c r="H63" i="2"/>
  <c r="G63" i="2"/>
  <c r="F63" i="2"/>
  <c r="H62" i="2"/>
  <c r="G62" i="2"/>
  <c r="F62" i="2"/>
  <c r="H61" i="2"/>
  <c r="G61" i="2"/>
  <c r="F61" i="2"/>
  <c r="H60" i="2"/>
  <c r="G60" i="2"/>
  <c r="F60" i="2"/>
  <c r="H59" i="2"/>
  <c r="G59" i="2"/>
  <c r="F59" i="2"/>
  <c r="H58" i="2"/>
  <c r="G58" i="2"/>
  <c r="F58" i="2"/>
  <c r="H57" i="2"/>
  <c r="G57" i="2"/>
  <c r="F57" i="2"/>
  <c r="H56" i="2"/>
  <c r="G56" i="2"/>
  <c r="F56" i="2"/>
  <c r="H55" i="2"/>
  <c r="G55" i="2"/>
  <c r="F55" i="2"/>
  <c r="H54" i="2"/>
  <c r="G54" i="2"/>
  <c r="F54" i="2"/>
  <c r="H53" i="2"/>
  <c r="G53" i="2"/>
  <c r="F53" i="2"/>
  <c r="H52" i="2"/>
  <c r="G52" i="2"/>
  <c r="F52" i="2"/>
  <c r="H51" i="2"/>
  <c r="G51" i="2"/>
  <c r="F51" i="2"/>
  <c r="H50" i="2"/>
  <c r="G50" i="2"/>
  <c r="F50" i="2"/>
  <c r="H49" i="2"/>
  <c r="G49" i="2"/>
  <c r="F49" i="2"/>
  <c r="H48" i="2"/>
  <c r="G48" i="2"/>
  <c r="F48" i="2"/>
  <c r="H47" i="2"/>
  <c r="G47" i="2"/>
  <c r="F47" i="2"/>
  <c r="H46" i="2"/>
  <c r="G46" i="2"/>
  <c r="F46" i="2"/>
  <c r="H45" i="2"/>
  <c r="G45" i="2"/>
  <c r="F45" i="2"/>
  <c r="H44" i="2"/>
  <c r="G44" i="2"/>
  <c r="F44" i="2"/>
  <c r="H43" i="2"/>
  <c r="G43" i="2"/>
  <c r="F43" i="2"/>
  <c r="H42" i="2"/>
  <c r="G42" i="2"/>
  <c r="F42" i="2"/>
  <c r="H41" i="2"/>
  <c r="G41" i="2"/>
  <c r="F41" i="2"/>
  <c r="H40" i="2"/>
  <c r="G40" i="2"/>
  <c r="F40" i="2"/>
  <c r="H39" i="2"/>
  <c r="G39" i="2"/>
  <c r="F39" i="2"/>
  <c r="H38" i="2"/>
  <c r="G38" i="2"/>
  <c r="F38" i="2"/>
  <c r="H37" i="2"/>
  <c r="G37" i="2"/>
  <c r="F37" i="2"/>
  <c r="H36" i="2"/>
  <c r="G36" i="2"/>
  <c r="F36" i="2"/>
  <c r="H35" i="2"/>
  <c r="G35" i="2"/>
  <c r="F35" i="2"/>
  <c r="H34" i="2"/>
  <c r="G34" i="2"/>
  <c r="F34" i="2"/>
  <c r="H33" i="2"/>
  <c r="G33" i="2"/>
  <c r="F33" i="2"/>
  <c r="H32" i="2"/>
  <c r="G32" i="2"/>
  <c r="F32" i="2"/>
  <c r="H31" i="2"/>
  <c r="G31" i="2"/>
  <c r="F31" i="2"/>
  <c r="H30" i="2"/>
  <c r="G30" i="2"/>
  <c r="F30" i="2"/>
  <c r="H29" i="2"/>
  <c r="G29" i="2"/>
  <c r="F29" i="2"/>
  <c r="H28" i="2"/>
  <c r="G28" i="2"/>
  <c r="F28" i="2"/>
  <c r="H27" i="2"/>
  <c r="G27" i="2"/>
  <c r="F27" i="2"/>
  <c r="H26" i="2"/>
  <c r="G26" i="2"/>
  <c r="F26" i="2"/>
  <c r="H25" i="2"/>
  <c r="G25" i="2"/>
  <c r="F25" i="2"/>
  <c r="H24" i="2"/>
  <c r="G24" i="2"/>
  <c r="F24" i="2"/>
  <c r="H23" i="2"/>
  <c r="G23" i="2"/>
  <c r="F23" i="2"/>
  <c r="H22" i="2"/>
  <c r="G22" i="2"/>
  <c r="F22" i="2"/>
  <c r="H21" i="2"/>
  <c r="G21" i="2"/>
  <c r="F21" i="2"/>
  <c r="H20" i="2"/>
  <c r="G20" i="2"/>
  <c r="F20" i="2"/>
  <c r="H19" i="2"/>
  <c r="G19" i="2"/>
  <c r="F19" i="2"/>
  <c r="H18" i="2"/>
  <c r="G18" i="2"/>
  <c r="F18" i="2"/>
  <c r="H17" i="2"/>
  <c r="G17" i="2"/>
  <c r="F17" i="2"/>
  <c r="H16" i="2"/>
  <c r="G16" i="2"/>
  <c r="F16" i="2"/>
  <c r="H15" i="2"/>
  <c r="G15" i="2"/>
  <c r="F15" i="2"/>
  <c r="H14" i="2"/>
  <c r="G14" i="2"/>
  <c r="F14" i="2"/>
  <c r="H13" i="2"/>
  <c r="G13" i="2"/>
  <c r="F13" i="2"/>
  <c r="H12" i="2"/>
  <c r="G12" i="2"/>
  <c r="F12" i="2"/>
  <c r="H11" i="2"/>
  <c r="G11" i="2"/>
  <c r="F11" i="2"/>
  <c r="H10" i="2"/>
  <c r="G10" i="2"/>
  <c r="F10" i="2"/>
  <c r="H9" i="2"/>
  <c r="G9" i="2"/>
  <c r="F9" i="2"/>
  <c r="H8" i="2"/>
  <c r="G8" i="2"/>
  <c r="F8" i="2"/>
  <c r="H7" i="2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G2" i="2"/>
  <c r="F2" i="2"/>
</calcChain>
</file>

<file path=xl/sharedStrings.xml><?xml version="1.0" encoding="utf-8"?>
<sst xmlns="http://schemas.openxmlformats.org/spreadsheetml/2006/main" count="874" uniqueCount="197">
  <si>
    <t>CMS Medicare Part B Utilization &amp; Cost Analytics</t>
  </si>
  <si>
    <t>Project scope</t>
  </si>
  <si>
    <t>National Medicare Part B physician/supplier expenditures and services by provider specialty, CY 2022–2024.</t>
  </si>
  <si>
    <t>Primary question</t>
  </si>
  <si>
    <t>Which provider specialties drive Medicare Part B utilization and spending, and how did cost intensity change from 2022 to 2024?</t>
  </si>
  <si>
    <t>Population</t>
  </si>
  <si>
    <t>Original Medicare Part B physician/supplier national summary data; this is aggregated public-use data, not beneficiary-level claims.</t>
  </si>
  <si>
    <t>Recommended tools</t>
  </si>
  <si>
    <t>Excel or Google Sheets for exploration; SQL/Python for analysis; Power BI or Tableau for the final dashboard.</t>
  </si>
  <si>
    <t>Core KPIs</t>
  </si>
  <si>
    <t>Allowed services, allowed charges, Medicare payment amount, charge per service, payment per service, and payment rate.</t>
  </si>
  <si>
    <t>Suggested visuals</t>
  </si>
  <si>
    <t>Annual trend lines; top-10 specialties by payment; utilization vs. payment scatterplot; payment-per-service heatmap; specialty growth matrix.</t>
  </si>
  <si>
    <t>Regression idea</t>
  </si>
  <si>
    <t>Predict Payment Amount using Allowed Services and Charge per Service.</t>
  </si>
  <si>
    <t>Clustering idea</t>
  </si>
  <si>
    <t>Group specialties by utilization volume, payment amount, payment per service, and payment rate.</t>
  </si>
  <si>
    <t>Portfolio outcome</t>
  </si>
  <si>
    <t>Executive dashboard plus a concise case study explaining cost drivers, utilization shifts, and recommendations.</t>
  </si>
  <si>
    <t>Suggested Capstone Sections</t>
  </si>
  <si>
    <t>1</t>
  </si>
  <si>
    <t>Business problem</t>
  </si>
  <si>
    <t>Explain why Medicare specialty utilization and cost variation matters for resource allocation and provider strategy.</t>
  </si>
  <si>
    <t>2</t>
  </si>
  <si>
    <t>Data preparation</t>
  </si>
  <si>
    <t>Combine years, standardize specialty names, exclude the Total row from specialty-level analysis, and validate numeric fields.</t>
  </si>
  <si>
    <t>3</t>
  </si>
  <si>
    <t>Descriptive analysis</t>
  </si>
  <si>
    <t>Calculate totals, averages, medians, percent change, correlations, and top/bottom specialty rankings.</t>
  </si>
  <si>
    <t>4</t>
  </si>
  <si>
    <t>Predictive analysis</t>
  </si>
  <si>
    <t>Use regression to estimate payment amount or payment per service; evaluate with MAE, RMSE, and R².</t>
  </si>
  <si>
    <t>5</t>
  </si>
  <si>
    <t>Segmentation</t>
  </si>
  <si>
    <t>Use K-means to identify high-volume, high-cost, and specialized low-volume/high-intensity groups.</t>
  </si>
  <si>
    <t>6</t>
  </si>
  <si>
    <t>Recommendations</t>
  </si>
  <si>
    <t>Highlight specialties with rising cost intensity, unusual payment patterns, or major influence on total spending.</t>
  </si>
  <si>
    <t>Year</t>
  </si>
  <si>
    <t>Specialty</t>
  </si>
  <si>
    <t>Allowed Services</t>
  </si>
  <si>
    <t>Allowed Charges</t>
  </si>
  <si>
    <t>Payment Amount</t>
  </si>
  <si>
    <t>Charge per Service</t>
  </si>
  <si>
    <t>Payment per Service</t>
  </si>
  <si>
    <t>Payment Rate</t>
  </si>
  <si>
    <t>ADDICTION MEDICINE</t>
  </si>
  <si>
    <t>ADULT CONGENITAL HEART DISEASE</t>
  </si>
  <si>
    <t>ADVANCED HEART FAILURE AND TRANSPLANT CARDIOLOGY</t>
  </si>
  <si>
    <t>ALL OTHER SUPPLIERS, E.G., DRUG STORES</t>
  </si>
  <si>
    <t>ALLERGY/IMMUNOLOGY</t>
  </si>
  <si>
    <t>AMBULANCE SERVICE SUPPLIER, E.G., PRIVATE AMBULANCE COMPANIES, FUNERAL HOMES</t>
  </si>
  <si>
    <t>AMBULATORY SURGICAL CENTER</t>
  </si>
  <si>
    <t>ANESTHESIOLOGIST ASSISTANT</t>
  </si>
  <si>
    <t>ANESTHESIOLOGY</t>
  </si>
  <si>
    <t>AUDIOLOGIST (BILLING INDEPENDENTLY)</t>
  </si>
  <si>
    <t>CARDIAC ELECTROPHYSIOLOGY</t>
  </si>
  <si>
    <t>CARDIAC SURGERY</t>
  </si>
  <si>
    <t>CARDIOLOGY</t>
  </si>
  <si>
    <t>CENTRALIZED FLU</t>
  </si>
  <si>
    <t>CERTIFIED CLINICAL NURSE SPECIALIST</t>
  </si>
  <si>
    <t>CERTIFIED NURSE MIDWIFE (EFFECTIVE JULY 1, 1988)</t>
  </si>
  <si>
    <t>CERTIFIED REGISTERED NURSE ANESTHETIST (CRNA)</t>
  </si>
  <si>
    <t>CHIROPRACTIC</t>
  </si>
  <si>
    <t>CLINICAL LABORATORY (BILLING INDEPENDENTLY)</t>
  </si>
  <si>
    <t>CLINICAL PSYCHOLOGIST</t>
  </si>
  <si>
    <t>COLORECTAL SURGERY (FORMERLY PROCTOLOGY)</t>
  </si>
  <si>
    <t>CRITICAL CARE (INTENSIVISTS)</t>
  </si>
  <si>
    <t>DENTIST</t>
  </si>
  <si>
    <t>DEPARTMENT STORE</t>
  </si>
  <si>
    <t>DERMATOLOGY</t>
  </si>
  <si>
    <t>DIAGNOSTIC RADIOLOGY</t>
  </si>
  <si>
    <t>EMERGENCY MEDICINE</t>
  </si>
  <si>
    <t>ENDOCRINOLOGY</t>
  </si>
  <si>
    <t>FAMILY PRACTICE</t>
  </si>
  <si>
    <t>GASTROENTEROLOGY</t>
  </si>
  <si>
    <t>GENERAL PRACTICE</t>
  </si>
  <si>
    <t>GENERAL SURGERY</t>
  </si>
  <si>
    <t>GERIATRIC MEDICINE</t>
  </si>
  <si>
    <t>GERIATRIC PSYCHIATRY</t>
  </si>
  <si>
    <t>GYNECOLOGICAL/ONCOLOGY</t>
  </si>
  <si>
    <t>HAND SURGERY</t>
  </si>
  <si>
    <t>HEMATOLOGY</t>
  </si>
  <si>
    <t>HEMATOLOGY/ONCOLOGY</t>
  </si>
  <si>
    <t>HEMATOPOIETIC CELL TRANSPLANTATION AND CELLULAR THERAPY</t>
  </si>
  <si>
    <t>HOME HEALTH AGENCY</t>
  </si>
  <si>
    <t>HOME INFUSION THERAPY SERVICES</t>
  </si>
  <si>
    <t>HOSPICE AND PALLIATIVE CARE</t>
  </si>
  <si>
    <t>HOSPITAL</t>
  </si>
  <si>
    <t>HOSPITALIST</t>
  </si>
  <si>
    <t>INDEPENDENT DIAGNOSTIC TESTING FACILITY (IDTF)</t>
  </si>
  <si>
    <t>INDIVIDUAL ORTHOTIC PERSONNEL CERTIFIED BY AN ACCREDITING ORGANIZATION</t>
  </si>
  <si>
    <t>INDIVIDUAL PROSTHETIC PERSONNEL CERTIFIED BY AN ACCREDITING ORGANIZATION</t>
  </si>
  <si>
    <t>INDIVIDUAL PROSTHETIC/ORTHOTIC PERSONNEL CERTIFIED BY AN ACCREDITING ORGANIZATION</t>
  </si>
  <si>
    <t>INFECTIOUS DISEASE</t>
  </si>
  <si>
    <t>INTENSIVE CARDIAC REHABILITATION</t>
  </si>
  <si>
    <t>INTERMEDIATE CARE NURSING FACILITY</t>
  </si>
  <si>
    <t>INTERNAL MEDICINE</t>
  </si>
  <si>
    <t>INTERVENTIONAL CARDIOLOGY</t>
  </si>
  <si>
    <t>INTERVENTIONAL PAIN MANAGEMENT</t>
  </si>
  <si>
    <t>INTERVENTIONAL RADIOLOGY</t>
  </si>
  <si>
    <t>LICENSED CLINICAL SOCIAL WORKER</t>
  </si>
  <si>
    <t>MAMMOGRAPHY SCREENING CENTER</t>
  </si>
  <si>
    <t>MASS IMMUNIZATION ROSTER BILLERS (MASS IMMUNIZERS HAVE TO ROSTER BILL ASSIGNED CLAIMS AND CAN ONLY BILL FOR IMMUNIZATIONS)</t>
  </si>
  <si>
    <t>MAXILLOFACIAL SURGERY</t>
  </si>
  <si>
    <t>MEDICAL GENETICS AND GENOMICS</t>
  </si>
  <si>
    <t>MEDICAL ONCOLOGY</t>
  </si>
  <si>
    <t>MEDICAL SUPPLY COMPANY NOT INCLUDED IN 51, 52, OR 53</t>
  </si>
  <si>
    <t>MEDICAL SUPPLY COMPANY WITH ORTHOTIC PERSONNEL CERTIFIED BY AN ACCREDITING  ORGANIZATION</t>
  </si>
  <si>
    <t>MEDICAL SUPPLY COMPANY WITH PEDORTHIC PERSONNEL</t>
  </si>
  <si>
    <t>MEDICAL SUPPLY COMPANY WITH PROSTHETIC PERSONNEL CERTIFIED BY AN ACCREDITING ORGANIZATION</t>
  </si>
  <si>
    <t>MEDICAL SUPPLY COMPANY WITH PROSTHETIC/ORTHOTIC PERSONNEL CERTIFIED BY AN ACCREDITING ORGANIZATION</t>
  </si>
  <si>
    <t>MEDICAL SUPPLY COMPANY WITH REGISTERED PHARMACIST</t>
  </si>
  <si>
    <t>MEDICAL SUPPLY COMPANY WITH RESPIRATORY THERAPIST</t>
  </si>
  <si>
    <t>MEDICAL TOXICOLOGY</t>
  </si>
  <si>
    <t>MEDICARE DIABETES PREVENTIVE PROGRAM</t>
  </si>
  <si>
    <t>MICROGRAPHIC DERMATOLOGIC SURGERY</t>
  </si>
  <si>
    <t>NEPHROLOGY</t>
  </si>
  <si>
    <t>NEUROLOGY</t>
  </si>
  <si>
    <t>NEUROPSYCHIATRY</t>
  </si>
  <si>
    <t>NEUROSURGERY</t>
  </si>
  <si>
    <t>NUCLEAR MEDICINE</t>
  </si>
  <si>
    <t>NURSE PRACTITIONER</t>
  </si>
  <si>
    <t>NURSING FACILITY, OTHER</t>
  </si>
  <si>
    <t>OBSTETRICS/GYNECOLOGY</t>
  </si>
  <si>
    <t>OCCUPATIONAL THERAPIST IN PRIVATE PRACTICE</t>
  </si>
  <si>
    <t>OCULARIST</t>
  </si>
  <si>
    <t>OPHTHALMOLOGY</t>
  </si>
  <si>
    <t>OPIOID TREATMENT PROGRAM (OTP)</t>
  </si>
  <si>
    <t>OPTICIAN</t>
  </si>
  <si>
    <t>OPTOMETRY</t>
  </si>
  <si>
    <t>ORAL SURGERY (DENTISTS ONLY)</t>
  </si>
  <si>
    <t>ORTHOPEDIC SURGERY</t>
  </si>
  <si>
    <t>OSTEOPATHIC MANIPULATIVE MEDICINE</t>
  </si>
  <si>
    <t>OTOLARYNGOLOGY</t>
  </si>
  <si>
    <t>OXYGEN/OXYGEN RELATED EQUIPMENT</t>
  </si>
  <si>
    <t>PAIN MANAGEMENT</t>
  </si>
  <si>
    <t>PATHOLOGY</t>
  </si>
  <si>
    <t>PEDIATRIC MEDICINE</t>
  </si>
  <si>
    <t>PEDORTHIC PERSONNEL</t>
  </si>
  <si>
    <t>PERIPHERAL VASCULAR DISEASE</t>
  </si>
  <si>
    <t>PHARMACY</t>
  </si>
  <si>
    <t>PHYSICAL MEDICINE AND REHABILITATION</t>
  </si>
  <si>
    <t>PHYSICAL THERAPIST IN PRIVATE PRACTICE</t>
  </si>
  <si>
    <t>PHYSICIAN ASSISTANT</t>
  </si>
  <si>
    <t>PLASTIC AND RECONSTRUCTIVE SURGERY</t>
  </si>
  <si>
    <t>PODIATRY</t>
  </si>
  <si>
    <t>PORTABLE X-RAY SUPPLIER (BILLING INDEPENDENTLY)</t>
  </si>
  <si>
    <t>PREVENTIVE MEDICINE</t>
  </si>
  <si>
    <t>PSYCHIATRY</t>
  </si>
  <si>
    <t>PSYCHOLOGIST (BILLING INDEPENDENTLY)</t>
  </si>
  <si>
    <t>PUBLIC HEALTH OR WELFARE AGENCIES (FEDERAL, STATE, AND LOCAL)</t>
  </si>
  <si>
    <t>PULMONARY DISEASE</t>
  </si>
  <si>
    <t>RADIATION ONCOLOGY</t>
  </si>
  <si>
    <t>RADIATION THERAPY CENTERS</t>
  </si>
  <si>
    <t>REGISTERED DIETICIAN/NUTRITION PROFESSIONAL</t>
  </si>
  <si>
    <t>REHABILITATION AGENCY</t>
  </si>
  <si>
    <t>RHEUMATOLOGY</t>
  </si>
  <si>
    <t>SINGLE OR MULTISPECIALTY CLINIC OR GROUP PRACTICE</t>
  </si>
  <si>
    <t>SKILLED NURSING FACILITY</t>
  </si>
  <si>
    <t>SLEEP MEDICINE</t>
  </si>
  <si>
    <t>SLIDE PREPARATION FACILITIES</t>
  </si>
  <si>
    <t>SOURCE: CMS/OIS PART B ANALYTICS REPORT (PBAR)</t>
  </si>
  <si>
    <t>SPEECH LANGUAGE PATHOLOGISTS</t>
  </si>
  <si>
    <t>SPORTS MEDICINE</t>
  </si>
  <si>
    <t>SURGICAL ONCOLOGY</t>
  </si>
  <si>
    <t>THORACIC SURGERY</t>
  </si>
  <si>
    <t>UNDERSEA AND HYPERBARIC MEDICINE</t>
  </si>
  <si>
    <t>UNKNOWN PHYSICIAN SPECIALTY</t>
  </si>
  <si>
    <t>UNKNOWN PROVIDER</t>
  </si>
  <si>
    <t>UROLOGY</t>
  </si>
  <si>
    <t>VASCULAR SURGERY</t>
  </si>
  <si>
    <t>DENTAL ANESTHESIOLOGY</t>
  </si>
  <si>
    <t>MENTAL HEALTH COUNSELORS</t>
  </si>
  <si>
    <t>ORAL AND MAXILLOFACIAL PATHOLOGY</t>
  </si>
  <si>
    <t>EPILEPTOLOGISTS</t>
  </si>
  <si>
    <t>MARRIAGE AND FAMILY THERAPISTS</t>
  </si>
  <si>
    <t>ORAL AND MAXILLOFACIAL RADIOLOGY</t>
  </si>
  <si>
    <t>ORAL MEDICINE</t>
  </si>
  <si>
    <t>OROFACIAL PAIN</t>
  </si>
  <si>
    <t>PERIODONTICS</t>
  </si>
  <si>
    <t>PROSTHODONTICS</t>
  </si>
  <si>
    <t>Annual Medicare Part B Summary</t>
  </si>
  <si>
    <t>YoY Payment Change</t>
  </si>
  <si>
    <t>2024 Payment Amount</t>
  </si>
  <si>
    <t>2024 Allowed Services</t>
  </si>
  <si>
    <t>2024 Payment / Service</t>
  </si>
  <si>
    <t>CMS Dataset</t>
  </si>
  <si>
    <t>Official Source URL</t>
  </si>
  <si>
    <t>Notes</t>
  </si>
  <si>
    <t>CY 2022 Expenditures and Services by Specialty</t>
  </si>
  <si>
    <t>https://www.cms.gov/files/document/cy-2022-expenditures-and-services-specialty.xlsx</t>
  </si>
  <si>
    <t>CMS Medicare Part B physician/supplier national summary data.</t>
  </si>
  <si>
    <t>CY 2023 Expenditures and Services by Specialty</t>
  </si>
  <si>
    <t>https://www.cms.gov/files/document/cy-2023-expenditures-and-services-specialty.xlsx</t>
  </si>
  <si>
    <t>CY 2024 Expenditures and Services by Specialty</t>
  </si>
  <si>
    <t>https://www.cms.gov/files/document/cy-2024-expenditures-and-services-specialty.xlsx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</si>
</sst>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"/>
    <numFmt numFmtId="165" formatCode="\$#,##0.00"/>
    <numFmt numFmtId="166" formatCode="0.0%"/>
    <numFmt numFmtId="167" formatCode="\$#,##0.0,,&quot;B&quot;"/>
    <numFmt numFmtId="168" formatCode="0.0,,,&quot;B&quot;"/>
  </numFmts>
  <fonts count="7">
    <font>
      <sz val="11"/>
      <name val="Carlito"/>
    </font>
    <font>
      <b/>
      <sz val="18"/>
      <color rgb="FFFFFFFF"/>
      <name val="Carlito"/>
    </font>
    <font>
      <b/>
      <sz val="11"/>
      <color rgb="FF123B5D"/>
      <name val="Carlito"/>
    </font>
    <font>
      <b/>
      <sz val="13"/>
      <color rgb="FFFFFFFF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8"/>
      <color rgb="FF123B5D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23B5D"/>
      </patternFill>
    </fill>
    <fill>
      <patternFill patternType="solid">
        <fgColor rgb="FFDCEAF4"/>
      </patternFill>
    </fill>
    <fill>
      <patternFill patternType="solid">
        <fgColor rgb="FF2A7F89"/>
      </patternFill>
    </fill>
    <fill>
      <patternFill patternType="solid">
        <fgColor rgb="FFF4F8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0" xfId="0" applyFont="1" applyFill="1" applyAlignment="1">
      <alignment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vertical="center" wrapText="1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  <xf numFmtId="0" fontId="4" fillId="4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167" fontId="6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168" fontId="6" fillId="5" borderId="0" xfId="0" applyNumberFormat="1" applyFont="1" applyFill="1" applyAlignment="1">
      <alignment horizontal="center" vertical="center"/>
    </xf>
    <xf numFmtId="165" fontId="6" fillId="5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Medicare Payment Trend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\$0.0,,,"B"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145-4896-9B86-A71B3DFC1ABB}"/>
            </c:ext>
          </c:extLst>
        </c:ser>
        <c:ser>
          <c:idx val="1"/>
          <c:order val="1"/>
          <c:tx>
            <c:v>Payment Amount</c:v>
          </c:tx>
          <c:cat>
            <c:numRef>
              <c:f>'Annual Summary'!$A$4:$A$6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'Annual Summary'!$D$4:$D$6</c:f>
              <c:numCache>
                <c:formatCode>\$#,##0.00</c:formatCode>
                <c:ptCount val="3"/>
                <c:pt idx="0">
                  <c:v>115923762573.08</c:v>
                </c:pt>
                <c:pt idx="1">
                  <c:v>125666071738.46001</c:v>
                </c:pt>
                <c:pt idx="2">
                  <c:v>131677023361.00101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45-4896-9B86-A71B3DFC1A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0.0,,,&quot;B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Allowed Services Trend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0.0,,,"B"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9F44-4D0A-B476-9D4A4989497E}"/>
            </c:ext>
          </c:extLst>
        </c:ser>
        <c:ser>
          <c:idx val="1"/>
          <c:order val="1"/>
          <c:tx>
            <c:v>Allowed Services</c:v>
          </c:tx>
          <c:invertIfNegative val="1"/>
          <c:cat>
            <c:numRef>
              <c:f>'Annual Summary'!$A$4:$A$6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'Annual Summary'!$B$4:$B$6</c:f>
              <c:numCache>
                <c:formatCode>#,##0.0</c:formatCode>
                <c:ptCount val="3"/>
                <c:pt idx="0">
                  <c:v>5481328388.1000004</c:v>
                </c:pt>
                <c:pt idx="1">
                  <c:v>6139157953.1000004</c:v>
                </c:pt>
                <c:pt idx="2">
                  <c:v>5963297207.8999996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44-4D0A-B476-9D4A498949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,,,&quot;B&quot;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4</xdr:col>
      <xdr:colOff>0</xdr:colOff>
      <xdr:row>29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7F8A62F-6F2B-4C77-B158-08F716245C36}" name="CMSPartBSpecialtyData35" displayName="CMSPartBSpecialtyData35" ref="A1:H127">
  <autoFilter ref="A1:H127" xr:uid="{97F8A62F-6F2B-4C77-B158-08F716245C36}"/>
  <tableColumns count="8">
    <tableColumn id="1" xr3:uid="{BCFCFA8C-81FA-4A30-B707-52F66CDB6785}" name="Year"/>
    <tableColumn id="2" xr3:uid="{6A2791C9-3881-4FBF-A160-21715D39AC62}" name="Specialty"/>
    <tableColumn id="3" xr3:uid="{6B0A62D3-7555-44C4-B682-CFC92187D431}" name="Allowed Services"/>
    <tableColumn id="4" xr3:uid="{1F705F5F-56C1-4476-BD8E-CC5686E920DB}" name="Allowed Charges"/>
    <tableColumn id="5" xr3:uid="{FC731523-8A9A-444A-B0A8-7FA2B4EE1D30}" name="Payment Amount"/>
    <tableColumn id="6" xr3:uid="{EE07D23E-1DB4-4532-A6B5-FE01CC886666}" name="Charge per Service">
      <calculatedColumnFormula>IFERROR(D2/C2,0)</calculatedColumnFormula>
    </tableColumn>
    <tableColumn id="7" xr3:uid="{7309E2A8-46C2-414E-B1D7-D9C0D105E7D7}" name="Payment per Service">
      <calculatedColumnFormula>IFERROR(E2/C2,0)</calculatedColumnFormula>
    </tableColumn>
    <tableColumn id="8" xr3:uid="{0AEAEA7E-6A92-4B47-B775-645DED7BCD5A}" name="Payment Rate">
      <calculatedColumnFormula>IFERROR(E2/D2,0)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BF11EF-101C-4A37-9BA5-089AD1B5E40B}" name="CMSPartBSpecialtyData3" displayName="CMSPartBSpecialtyData3" ref="A1:H130">
  <autoFilter ref="A1:H130" xr:uid="{BABF11EF-101C-4A37-9BA5-089AD1B5E40B}"/>
  <tableColumns count="8">
    <tableColumn id="1" xr3:uid="{0682B740-09BD-405F-A99B-D7FDC016C01F}" name="Year"/>
    <tableColumn id="2" xr3:uid="{451AC1D4-E266-4804-9DBB-88FF5D539F50}" name="Specialty"/>
    <tableColumn id="3" xr3:uid="{8AAE92E6-13BA-4C07-AD75-3AA04E304DD8}" name="Allowed Services"/>
    <tableColumn id="4" xr3:uid="{AC02A53D-11E9-4DAB-8F54-0DD03BF49475}" name="Allowed Charges"/>
    <tableColumn id="5" xr3:uid="{BE5C900C-AA0D-42AE-80A3-D3F3E06A4347}" name="Payment Amount"/>
    <tableColumn id="6" xr3:uid="{1A05804E-080F-46ED-BBB5-9503FB404F40}" name="Charge per Service">
      <calculatedColumnFormula>IFERROR(D2/C2,0)</calculatedColumnFormula>
    </tableColumn>
    <tableColumn id="7" xr3:uid="{1149822F-7739-4637-ADFF-B5C380E98033}" name="Payment per Service">
      <calculatedColumnFormula>IFERROR(E2/C2,0)</calculatedColumnFormula>
    </tableColumn>
    <tableColumn id="8" xr3:uid="{A44102A3-1BB6-4FF0-91FF-B06BD54444D2}" name="Payment Rate">
      <calculatedColumnFormula>IFERROR(E2/D2,0)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6679E60-C5E4-4568-9D49-FE83E72489E9}" name="CMSPartBSpecialtyData34" displayName="CMSPartBSpecialtyData34" ref="A1:H136">
  <autoFilter ref="A1:H136" xr:uid="{46679E60-C5E4-4568-9D49-FE83E72489E9}"/>
  <tableColumns count="8">
    <tableColumn id="1" xr3:uid="{F2D91B9A-764F-44B1-AC1F-CE96955440DD}" name="Year"/>
    <tableColumn id="2" xr3:uid="{E93EF1C8-9E58-4BDB-B2C5-AEE3A8417208}" name="Specialty"/>
    <tableColumn id="3" xr3:uid="{12F16A55-B3FA-472A-AF96-15C79B4C9B39}" name="Allowed Services"/>
    <tableColumn id="4" xr3:uid="{93FF9AA5-FA81-413D-9688-6ADD76236782}" name="Allowed Charges"/>
    <tableColumn id="5" xr3:uid="{AA90125E-0CF5-4928-9383-A0C2E515F540}" name="Payment Amount"/>
    <tableColumn id="6" xr3:uid="{DE457513-62A6-41A4-BB5E-A58F5CCE14DB}" name="Charge per Service">
      <calculatedColumnFormula>IFERROR(D2/C2,0)</calculatedColumnFormula>
    </tableColumn>
    <tableColumn id="7" xr3:uid="{C8A13530-F6A4-4865-BD92-A62B6E1F3E5E}" name="Payment per Service">
      <calculatedColumnFormula>IFERROR(E2/C2,0)</calculatedColumnFormula>
    </tableColumn>
    <tableColumn id="8" xr3:uid="{CB091506-B0B7-461E-8156-7A400588CCEA}" name="Payment Rate">
      <calculatedColumnFormula>IFERROR(E2/D2,0)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MSPartBSpecialtyData" displayName="CMSPartBSpecialtyData" ref="A1:H391">
  <tableColumns count="8">
    <tableColumn id="1" xr3:uid="{00000000-0010-0000-0000-000001000000}" name="Year"/>
    <tableColumn id="2" xr3:uid="{00000000-0010-0000-0000-000002000000}" name="Specialty"/>
    <tableColumn id="3" xr3:uid="{00000000-0010-0000-0000-000003000000}" name="Allowed Services"/>
    <tableColumn id="4" xr3:uid="{00000000-0010-0000-0000-000004000000}" name="Allowed Charges"/>
    <tableColumn id="5" xr3:uid="{00000000-0010-0000-0000-000005000000}" name="Payment Amount"/>
    <tableColumn id="6" xr3:uid="{00000000-0010-0000-0000-000006000000}" name="Charge per Service"/>
    <tableColumn id="7" xr3:uid="{00000000-0010-0000-0000-000007000000}" name="Payment per Service"/>
    <tableColumn id="8" xr3:uid="{00000000-0010-0000-0000-000008000000}" name="Payment R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workbookViewId="0">
      <selection activeCell="B4" sqref="B4"/>
    </sheetView>
  </sheetViews>
  <sheetFormatPr defaultColWidth="46.59765625" defaultRowHeight="13.8"/>
  <cols>
    <col min="1" max="1" width="19.296875" bestFit="1" customWidth="1"/>
    <col min="2" max="2" width="45.59765625" bestFit="1" customWidth="1"/>
    <col min="3" max="3" width="46.19921875" bestFit="1" customWidth="1"/>
    <col min="4" max="4" width="5.3984375" customWidth="1"/>
    <col min="5" max="5" width="3.796875" customWidth="1"/>
    <col min="6" max="6" width="5.296875" customWidth="1"/>
    <col min="7" max="7" width="6.19921875" customWidth="1"/>
    <col min="8" max="8" width="5.8984375" customWidth="1"/>
  </cols>
  <sheetData>
    <row r="1" spans="1:8" ht="22.8">
      <c r="A1" s="14" t="s">
        <v>0</v>
      </c>
      <c r="B1" s="14"/>
      <c r="C1" s="14"/>
      <c r="D1" s="14"/>
      <c r="E1" s="14"/>
      <c r="F1" s="14"/>
      <c r="G1" s="14"/>
      <c r="H1" s="14"/>
    </row>
    <row r="3" spans="1:8" ht="41.4">
      <c r="A3" s="1" t="s">
        <v>1</v>
      </c>
      <c r="B3" s="3" t="s">
        <v>2</v>
      </c>
    </row>
    <row r="4" spans="1:8" ht="41.4">
      <c r="A4" s="1" t="s">
        <v>3</v>
      </c>
      <c r="B4" s="3" t="s">
        <v>4</v>
      </c>
    </row>
    <row r="5" spans="1:8" ht="41.4">
      <c r="A5" s="1" t="s">
        <v>5</v>
      </c>
      <c r="B5" s="3" t="s">
        <v>6</v>
      </c>
    </row>
    <row r="6" spans="1:8" ht="27.6">
      <c r="A6" s="1" t="s">
        <v>7</v>
      </c>
      <c r="B6" s="3" t="s">
        <v>8</v>
      </c>
    </row>
    <row r="7" spans="1:8" ht="41.4">
      <c r="A7" s="1" t="s">
        <v>9</v>
      </c>
      <c r="B7" s="3" t="s">
        <v>10</v>
      </c>
    </row>
    <row r="8" spans="1:8" ht="41.4">
      <c r="A8" s="1" t="s">
        <v>11</v>
      </c>
      <c r="B8" s="3" t="s">
        <v>12</v>
      </c>
    </row>
    <row r="9" spans="1:8" ht="27.6">
      <c r="A9" s="1" t="s">
        <v>13</v>
      </c>
      <c r="B9" s="3" t="s">
        <v>14</v>
      </c>
    </row>
    <row r="10" spans="1:8" ht="27.6">
      <c r="A10" s="1" t="s">
        <v>15</v>
      </c>
      <c r="B10" s="3" t="s">
        <v>16</v>
      </c>
    </row>
    <row r="11" spans="1:8" ht="41.4">
      <c r="A11" s="1" t="s">
        <v>17</v>
      </c>
      <c r="B11" s="3" t="s">
        <v>18</v>
      </c>
    </row>
    <row r="13" spans="1:8" ht="16.8">
      <c r="A13" s="15" t="s">
        <v>19</v>
      </c>
      <c r="B13" s="15"/>
      <c r="C13" s="15"/>
      <c r="D13" s="15"/>
      <c r="E13" s="15"/>
      <c r="F13" s="15"/>
      <c r="G13" s="15"/>
      <c r="H13" s="15"/>
    </row>
    <row r="14" spans="1:8" ht="41.4">
      <c r="A14" s="2" t="s">
        <v>20</v>
      </c>
      <c r="B14" s="2" t="s">
        <v>21</v>
      </c>
      <c r="C14" s="2" t="s">
        <v>22</v>
      </c>
    </row>
    <row r="15" spans="1:8" ht="41.4">
      <c r="A15" s="2" t="s">
        <v>23</v>
      </c>
      <c r="B15" s="2" t="s">
        <v>24</v>
      </c>
      <c r="C15" s="2" t="s">
        <v>25</v>
      </c>
    </row>
    <row r="16" spans="1:8" ht="27.6">
      <c r="A16" s="2" t="s">
        <v>26</v>
      </c>
      <c r="B16" s="2" t="s">
        <v>27</v>
      </c>
      <c r="C16" s="2" t="s">
        <v>28</v>
      </c>
    </row>
    <row r="17" spans="1:3" ht="27.6">
      <c r="A17" s="2" t="s">
        <v>29</v>
      </c>
      <c r="B17" s="2" t="s">
        <v>30</v>
      </c>
      <c r="C17" s="2" t="s">
        <v>31</v>
      </c>
    </row>
    <row r="18" spans="1:3" ht="27.6">
      <c r="A18" s="2" t="s">
        <v>32</v>
      </c>
      <c r="B18" s="2" t="s">
        <v>33</v>
      </c>
      <c r="C18" s="2" t="s">
        <v>34</v>
      </c>
    </row>
    <row r="19" spans="1:3" ht="27.6">
      <c r="A19" s="2" t="s">
        <v>35</v>
      </c>
      <c r="B19" s="2" t="s">
        <v>36</v>
      </c>
      <c r="C19" s="2" t="s">
        <v>37</v>
      </c>
    </row>
  </sheetData>
  <mergeCells count="2">
    <mergeCell ref="A1:H1"/>
    <mergeCell ref="A13:H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752AD-3889-45BD-91E0-575FE600BF80}">
  <dimension ref="A1:H127"/>
  <sheetViews>
    <sheetView workbookViewId="0">
      <selection activeCell="C16" sqref="C16"/>
    </sheetView>
  </sheetViews>
  <sheetFormatPr defaultRowHeight="13.8"/>
  <cols>
    <col min="1" max="1" width="9" customWidth="1"/>
    <col min="2" max="2" width="40" customWidth="1"/>
    <col min="3" max="7" width="18" customWidth="1"/>
    <col min="8" max="8" width="14" customWidth="1"/>
  </cols>
  <sheetData>
    <row r="1" spans="1:8" ht="24" customHeight="1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</row>
    <row r="2" spans="1:8">
      <c r="A2" s="9">
        <v>2022</v>
      </c>
      <c r="B2" s="9" t="s">
        <v>46</v>
      </c>
      <c r="C2" s="10">
        <v>110473</v>
      </c>
      <c r="D2" s="11">
        <v>9737743.5099999998</v>
      </c>
      <c r="E2" s="11">
        <v>7452820.8600000003</v>
      </c>
      <c r="F2" s="11">
        <f t="shared" ref="F2:F65" si="0">IFERROR(D2/C2,0)</f>
        <v>88.145913571641941</v>
      </c>
      <c r="G2" s="11">
        <f t="shared" ref="G2:G65" si="1">IFERROR(E2/C2,0)</f>
        <v>67.462826754048507</v>
      </c>
      <c r="H2" s="12">
        <f t="shared" ref="H2:H65" si="2">IFERROR(E2/D2,0)</f>
        <v>0.76535399113218172</v>
      </c>
    </row>
    <row r="3" spans="1:8">
      <c r="A3" s="9">
        <v>2022</v>
      </c>
      <c r="B3" s="9" t="s">
        <v>47</v>
      </c>
      <c r="C3" s="10">
        <v>29627</v>
      </c>
      <c r="D3" s="11">
        <v>2637586.25</v>
      </c>
      <c r="E3" s="11">
        <v>1990949.94</v>
      </c>
      <c r="F3" s="11">
        <f t="shared" si="0"/>
        <v>89.026437033786749</v>
      </c>
      <c r="G3" s="11">
        <f t="shared" si="1"/>
        <v>67.200524521551287</v>
      </c>
      <c r="H3" s="12">
        <f t="shared" si="2"/>
        <v>0.75483785222189415</v>
      </c>
    </row>
    <row r="4" spans="1:8">
      <c r="A4" s="9">
        <v>2022</v>
      </c>
      <c r="B4" s="9" t="s">
        <v>48</v>
      </c>
      <c r="C4" s="10">
        <v>1001712</v>
      </c>
      <c r="D4" s="11">
        <v>83795130.280000001</v>
      </c>
      <c r="E4" s="11">
        <v>63374430.060000002</v>
      </c>
      <c r="F4" s="11">
        <f t="shared" si="0"/>
        <v>83.651918196048371</v>
      </c>
      <c r="G4" s="11">
        <f t="shared" si="1"/>
        <v>63.266118465187603</v>
      </c>
      <c r="H4" s="12">
        <f t="shared" si="2"/>
        <v>0.75630206490801344</v>
      </c>
    </row>
    <row r="5" spans="1:8">
      <c r="A5" s="9">
        <v>2022</v>
      </c>
      <c r="B5" s="9" t="s">
        <v>49</v>
      </c>
      <c r="C5" s="10">
        <v>12438447.199999999</v>
      </c>
      <c r="D5" s="11">
        <v>153766231.09</v>
      </c>
      <c r="E5" s="11">
        <v>129208307.41</v>
      </c>
      <c r="F5" s="11">
        <f t="shared" si="0"/>
        <v>12.362172594180407</v>
      </c>
      <c r="G5" s="11">
        <f t="shared" si="1"/>
        <v>10.387816528256035</v>
      </c>
      <c r="H5" s="12">
        <f t="shared" si="2"/>
        <v>0.84029052734194831</v>
      </c>
    </row>
    <row r="6" spans="1:8">
      <c r="A6" s="9">
        <v>2022</v>
      </c>
      <c r="B6" s="9" t="s">
        <v>50</v>
      </c>
      <c r="C6" s="10">
        <v>20865913</v>
      </c>
      <c r="D6" s="11">
        <v>505674195.69</v>
      </c>
      <c r="E6" s="11">
        <v>383640173.69999999</v>
      </c>
      <c r="F6" s="11">
        <f t="shared" si="0"/>
        <v>24.234462958318669</v>
      </c>
      <c r="G6" s="11">
        <f t="shared" si="1"/>
        <v>18.385975907212877</v>
      </c>
      <c r="H6" s="12">
        <f t="shared" si="2"/>
        <v>0.75867065586868088</v>
      </c>
    </row>
    <row r="7" spans="1:8">
      <c r="A7" s="9">
        <v>2022</v>
      </c>
      <c r="B7" s="9" t="s">
        <v>51</v>
      </c>
      <c r="C7" s="10">
        <v>121043909.40000001</v>
      </c>
      <c r="D7" s="11">
        <v>5374935011.3299999</v>
      </c>
      <c r="E7" s="11">
        <v>4198197303</v>
      </c>
      <c r="F7" s="11">
        <f t="shared" si="0"/>
        <v>44.404836542151536</v>
      </c>
      <c r="G7" s="11">
        <f t="shared" si="1"/>
        <v>34.68325935447686</v>
      </c>
      <c r="H7" s="12">
        <f t="shared" si="2"/>
        <v>0.78106940719292117</v>
      </c>
    </row>
    <row r="8" spans="1:8">
      <c r="A8" s="9">
        <v>2022</v>
      </c>
      <c r="B8" s="9" t="s">
        <v>52</v>
      </c>
      <c r="C8" s="10">
        <v>26991705.699999999</v>
      </c>
      <c r="D8" s="11">
        <v>6117828507.3299999</v>
      </c>
      <c r="E8" s="11">
        <v>4785858772.4399996</v>
      </c>
      <c r="F8" s="11">
        <f t="shared" si="0"/>
        <v>226.6558688556685</v>
      </c>
      <c r="G8" s="11">
        <f t="shared" si="1"/>
        <v>177.30849712250676</v>
      </c>
      <c r="H8" s="12">
        <f t="shared" si="2"/>
        <v>0.78228063547480653</v>
      </c>
    </row>
    <row r="9" spans="1:8">
      <c r="A9" s="9">
        <v>2022</v>
      </c>
      <c r="B9" s="9" t="s">
        <v>53</v>
      </c>
      <c r="C9" s="10">
        <v>340137</v>
      </c>
      <c r="D9" s="11">
        <v>42192232.329999998</v>
      </c>
      <c r="E9" s="11">
        <v>33147398.989999998</v>
      </c>
      <c r="F9" s="11">
        <f t="shared" si="0"/>
        <v>124.04481820560538</v>
      </c>
      <c r="G9" s="11">
        <f t="shared" si="1"/>
        <v>97.453082111031733</v>
      </c>
      <c r="H9" s="12">
        <f t="shared" si="2"/>
        <v>0.78562799737029221</v>
      </c>
    </row>
    <row r="10" spans="1:8">
      <c r="A10" s="9">
        <v>2022</v>
      </c>
      <c r="B10" s="9" t="s">
        <v>54</v>
      </c>
      <c r="C10" s="10">
        <v>17566189.199999999</v>
      </c>
      <c r="D10" s="11">
        <v>1839636506.3900001</v>
      </c>
      <c r="E10" s="11">
        <v>1436352546.1099999</v>
      </c>
      <c r="F10" s="11">
        <f t="shared" si="0"/>
        <v>104.72598726136914</v>
      </c>
      <c r="G10" s="11">
        <f t="shared" si="1"/>
        <v>81.768022065366338</v>
      </c>
      <c r="H10" s="12">
        <f t="shared" si="2"/>
        <v>0.78078062765161027</v>
      </c>
    </row>
    <row r="11" spans="1:8">
      <c r="A11" s="9">
        <v>2022</v>
      </c>
      <c r="B11" s="9" t="s">
        <v>55</v>
      </c>
      <c r="C11" s="10">
        <v>2150367.6</v>
      </c>
      <c r="D11" s="11">
        <v>73552856.439999998</v>
      </c>
      <c r="E11" s="11">
        <v>52050209.689999998</v>
      </c>
      <c r="F11" s="11">
        <f t="shared" si="0"/>
        <v>34.204782679947371</v>
      </c>
      <c r="G11" s="11">
        <f t="shared" si="1"/>
        <v>24.205261319041448</v>
      </c>
      <c r="H11" s="12">
        <f t="shared" si="2"/>
        <v>0.70765721699006257</v>
      </c>
    </row>
    <row r="12" spans="1:8">
      <c r="A12" s="9">
        <v>2022</v>
      </c>
      <c r="B12" s="9" t="s">
        <v>56</v>
      </c>
      <c r="C12" s="10">
        <v>9023130.4000000004</v>
      </c>
      <c r="D12" s="11">
        <v>749966817.23000002</v>
      </c>
      <c r="E12" s="11">
        <v>566375320.22000003</v>
      </c>
      <c r="F12" s="11">
        <f t="shared" si="0"/>
        <v>83.116034456290251</v>
      </c>
      <c r="G12" s="11">
        <f t="shared" si="1"/>
        <v>62.769271318521561</v>
      </c>
      <c r="H12" s="12">
        <f t="shared" si="2"/>
        <v>0.7552005064862809</v>
      </c>
    </row>
    <row r="13" spans="1:8">
      <c r="A13" s="9">
        <v>2022</v>
      </c>
      <c r="B13" s="9" t="s">
        <v>57</v>
      </c>
      <c r="C13" s="10">
        <v>542327.1</v>
      </c>
      <c r="D13" s="11">
        <v>187867832.30000001</v>
      </c>
      <c r="E13" s="11">
        <v>147336983.66999999</v>
      </c>
      <c r="F13" s="11">
        <f t="shared" si="0"/>
        <v>346.41055610165898</v>
      </c>
      <c r="G13" s="11">
        <f t="shared" si="1"/>
        <v>271.67549560034894</v>
      </c>
      <c r="H13" s="12">
        <f t="shared" si="2"/>
        <v>0.78425870925429297</v>
      </c>
    </row>
    <row r="14" spans="1:8">
      <c r="A14" s="9">
        <v>2022</v>
      </c>
      <c r="B14" s="9" t="s">
        <v>58</v>
      </c>
      <c r="C14" s="10">
        <v>60161275.700000003</v>
      </c>
      <c r="D14" s="11">
        <v>4978172434.6300001</v>
      </c>
      <c r="E14" s="11">
        <v>3719642781.6399999</v>
      </c>
      <c r="F14" s="11">
        <f t="shared" si="0"/>
        <v>82.747122242788478</v>
      </c>
      <c r="G14" s="11">
        <f t="shared" si="1"/>
        <v>61.82785751067442</v>
      </c>
      <c r="H14" s="12">
        <f t="shared" si="2"/>
        <v>0.74719042590103857</v>
      </c>
    </row>
    <row r="15" spans="1:8">
      <c r="A15" s="9">
        <v>2022</v>
      </c>
      <c r="B15" s="9" t="s">
        <v>59</v>
      </c>
      <c r="C15" s="10">
        <v>31444417</v>
      </c>
      <c r="D15" s="11">
        <v>790175265.72000003</v>
      </c>
      <c r="E15" s="11">
        <v>776297889.99000001</v>
      </c>
      <c r="F15" s="11">
        <f t="shared" si="0"/>
        <v>25.129270665759204</v>
      </c>
      <c r="G15" s="11">
        <f t="shared" si="1"/>
        <v>24.687940310357799</v>
      </c>
      <c r="H15" s="12">
        <f t="shared" si="2"/>
        <v>0.9824375979203106</v>
      </c>
    </row>
    <row r="16" spans="1:8">
      <c r="A16" s="9">
        <v>2022</v>
      </c>
      <c r="B16" s="9" t="s">
        <v>60</v>
      </c>
      <c r="C16" s="10">
        <v>928976.6</v>
      </c>
      <c r="D16" s="11">
        <v>61154259.539999999</v>
      </c>
      <c r="E16" s="11">
        <v>44791293.890000001</v>
      </c>
      <c r="F16" s="11">
        <f t="shared" si="0"/>
        <v>65.829709316682468</v>
      </c>
      <c r="G16" s="11">
        <f t="shared" si="1"/>
        <v>48.215739653722174</v>
      </c>
      <c r="H16" s="12">
        <f t="shared" si="2"/>
        <v>0.73243130121954547</v>
      </c>
    </row>
    <row r="17" spans="1:8">
      <c r="A17" s="9">
        <v>2022</v>
      </c>
      <c r="B17" s="9" t="s">
        <v>61</v>
      </c>
      <c r="C17" s="10">
        <v>102610</v>
      </c>
      <c r="D17" s="11">
        <v>5754007.25</v>
      </c>
      <c r="E17" s="11">
        <v>4311143.21</v>
      </c>
      <c r="F17" s="11">
        <f t="shared" si="0"/>
        <v>56.076476464282237</v>
      </c>
      <c r="G17" s="11">
        <f t="shared" si="1"/>
        <v>42.014844654517105</v>
      </c>
      <c r="H17" s="12">
        <f t="shared" si="2"/>
        <v>0.74924188008278925</v>
      </c>
    </row>
    <row r="18" spans="1:8">
      <c r="A18" s="9">
        <v>2022</v>
      </c>
      <c r="B18" s="9" t="s">
        <v>62</v>
      </c>
      <c r="C18" s="10">
        <v>7639857.2999999998</v>
      </c>
      <c r="D18" s="11">
        <v>1087377627.71</v>
      </c>
      <c r="E18" s="11">
        <v>856288936.14999998</v>
      </c>
      <c r="F18" s="11">
        <f t="shared" si="0"/>
        <v>142.32957305498363</v>
      </c>
      <c r="G18" s="11">
        <f t="shared" si="1"/>
        <v>112.08179714953576</v>
      </c>
      <c r="H18" s="12">
        <f t="shared" si="2"/>
        <v>0.78748073744475577</v>
      </c>
    </row>
    <row r="19" spans="1:8">
      <c r="A19" s="9">
        <v>2022</v>
      </c>
      <c r="B19" s="9" t="s">
        <v>63</v>
      </c>
      <c r="C19" s="10">
        <v>17924869</v>
      </c>
      <c r="D19" s="11">
        <v>671731233.96000004</v>
      </c>
      <c r="E19" s="11">
        <v>469076842.44999999</v>
      </c>
      <c r="F19" s="11">
        <f t="shared" si="0"/>
        <v>37.474819702169093</v>
      </c>
      <c r="G19" s="11">
        <f t="shared" si="1"/>
        <v>26.169052752909938</v>
      </c>
      <c r="H19" s="12">
        <f t="shared" si="2"/>
        <v>0.69831030438273822</v>
      </c>
    </row>
    <row r="20" spans="1:8">
      <c r="A20" s="9">
        <v>2022</v>
      </c>
      <c r="B20" s="9" t="s">
        <v>64</v>
      </c>
      <c r="C20" s="10">
        <v>315409930.89999998</v>
      </c>
      <c r="D20" s="11">
        <v>6677794206.2399998</v>
      </c>
      <c r="E20" s="11">
        <v>6447932119.8000002</v>
      </c>
      <c r="F20" s="11">
        <f t="shared" si="0"/>
        <v>21.171794392095979</v>
      </c>
      <c r="G20" s="11">
        <f t="shared" si="1"/>
        <v>20.443021883937771</v>
      </c>
      <c r="H20" s="12">
        <f t="shared" si="2"/>
        <v>0.96557814162269229</v>
      </c>
    </row>
    <row r="21" spans="1:8">
      <c r="A21" s="9">
        <v>2022</v>
      </c>
      <c r="B21" s="9" t="s">
        <v>65</v>
      </c>
      <c r="C21" s="10">
        <v>6984398.5999999996</v>
      </c>
      <c r="D21" s="11">
        <v>744745414.74000001</v>
      </c>
      <c r="E21" s="11">
        <v>569045062.10000002</v>
      </c>
      <c r="F21" s="11">
        <f t="shared" si="0"/>
        <v>106.62985568148989</v>
      </c>
      <c r="G21" s="11">
        <f t="shared" si="1"/>
        <v>81.473738068156649</v>
      </c>
      <c r="H21" s="12">
        <f t="shared" si="2"/>
        <v>0.764079980671866</v>
      </c>
    </row>
    <row r="22" spans="1:8">
      <c r="A22" s="9">
        <v>2022</v>
      </c>
      <c r="B22" s="9" t="s">
        <v>66</v>
      </c>
      <c r="C22" s="10">
        <v>785563.8</v>
      </c>
      <c r="D22" s="11">
        <v>156410438.77000001</v>
      </c>
      <c r="E22" s="11">
        <v>120225319.06</v>
      </c>
      <c r="F22" s="11">
        <f t="shared" si="0"/>
        <v>199.10596538435198</v>
      </c>
      <c r="G22" s="11">
        <f t="shared" si="1"/>
        <v>153.04335441628038</v>
      </c>
      <c r="H22" s="12">
        <f t="shared" si="2"/>
        <v>0.7686527830587454</v>
      </c>
    </row>
    <row r="23" spans="1:8">
      <c r="A23" s="9">
        <v>2022</v>
      </c>
      <c r="B23" s="9" t="s">
        <v>67</v>
      </c>
      <c r="C23" s="10">
        <v>2815858</v>
      </c>
      <c r="D23" s="11">
        <v>351332426.67000002</v>
      </c>
      <c r="E23" s="11">
        <v>273416443.25999999</v>
      </c>
      <c r="F23" s="11">
        <f t="shared" si="0"/>
        <v>124.76922723731097</v>
      </c>
      <c r="G23" s="11">
        <f t="shared" si="1"/>
        <v>97.09880372518785</v>
      </c>
      <c r="H23" s="12">
        <f t="shared" si="2"/>
        <v>0.77822717889007997</v>
      </c>
    </row>
    <row r="24" spans="1:8">
      <c r="A24" s="9">
        <v>2022</v>
      </c>
      <c r="B24" s="9" t="s">
        <v>68</v>
      </c>
      <c r="C24" s="10">
        <v>60042</v>
      </c>
      <c r="D24" s="11">
        <v>12695293.720000001</v>
      </c>
      <c r="E24" s="11">
        <v>9863939.9800000004</v>
      </c>
      <c r="F24" s="11">
        <f t="shared" si="0"/>
        <v>211.44022051230806</v>
      </c>
      <c r="G24" s="11">
        <f t="shared" si="1"/>
        <v>164.28400086606044</v>
      </c>
      <c r="H24" s="12">
        <f t="shared" si="2"/>
        <v>0.77697611394846877</v>
      </c>
    </row>
    <row r="25" spans="1:8">
      <c r="A25" s="9">
        <v>2022</v>
      </c>
      <c r="B25" s="9" t="s">
        <v>69</v>
      </c>
      <c r="C25" s="10">
        <v>8294</v>
      </c>
      <c r="D25" s="11">
        <v>707796.96</v>
      </c>
      <c r="E25" s="11">
        <v>533992.07999999996</v>
      </c>
      <c r="F25" s="11">
        <f t="shared" si="0"/>
        <v>85.338432601880868</v>
      </c>
      <c r="G25" s="11">
        <f t="shared" si="1"/>
        <v>64.38293706293706</v>
      </c>
      <c r="H25" s="12">
        <f t="shared" si="2"/>
        <v>0.75444246044797925</v>
      </c>
    </row>
    <row r="26" spans="1:8">
      <c r="A26" s="9">
        <v>2022</v>
      </c>
      <c r="B26" s="9" t="s">
        <v>70</v>
      </c>
      <c r="C26" s="10">
        <v>49521130.600000001</v>
      </c>
      <c r="D26" s="11">
        <v>3848698071.9099998</v>
      </c>
      <c r="E26" s="11">
        <v>2826715470.6300001</v>
      </c>
      <c r="F26" s="11">
        <f t="shared" si="0"/>
        <v>77.718299749602238</v>
      </c>
      <c r="G26" s="11">
        <f t="shared" si="1"/>
        <v>57.080996261220257</v>
      </c>
      <c r="H26" s="12">
        <f t="shared" si="2"/>
        <v>0.73446017791340579</v>
      </c>
    </row>
    <row r="27" spans="1:8">
      <c r="A27" s="9">
        <v>2022</v>
      </c>
      <c r="B27" s="9" t="s">
        <v>71</v>
      </c>
      <c r="C27" s="10">
        <v>202829002.90000001</v>
      </c>
      <c r="D27" s="11">
        <v>5150944412.6599998</v>
      </c>
      <c r="E27" s="11">
        <v>4021732908.8699999</v>
      </c>
      <c r="F27" s="11">
        <f t="shared" si="0"/>
        <v>25.395502314822057</v>
      </c>
      <c r="G27" s="11">
        <f t="shared" si="1"/>
        <v>19.828194446396896</v>
      </c>
      <c r="H27" s="12">
        <f t="shared" si="2"/>
        <v>0.78077583190091859</v>
      </c>
    </row>
    <row r="28" spans="1:8">
      <c r="A28" s="9">
        <v>2022</v>
      </c>
      <c r="B28" s="9" t="s">
        <v>72</v>
      </c>
      <c r="C28" s="10">
        <v>29099648.100000001</v>
      </c>
      <c r="D28" s="11">
        <v>2710935849.5999999</v>
      </c>
      <c r="E28" s="11">
        <v>2214678928.4699998</v>
      </c>
      <c r="F28" s="11">
        <f t="shared" si="0"/>
        <v>93.160434115352743</v>
      </c>
      <c r="G28" s="11">
        <f t="shared" si="1"/>
        <v>76.106725444215925</v>
      </c>
      <c r="H28" s="12">
        <f t="shared" si="2"/>
        <v>0.81694258047337298</v>
      </c>
    </row>
    <row r="29" spans="1:8">
      <c r="A29" s="9">
        <v>2022</v>
      </c>
      <c r="B29" s="9" t="s">
        <v>73</v>
      </c>
      <c r="C29" s="10">
        <v>17687445.5</v>
      </c>
      <c r="D29" s="11">
        <v>695903521.00999999</v>
      </c>
      <c r="E29" s="11">
        <v>514143997.83999997</v>
      </c>
      <c r="F29" s="11">
        <f t="shared" si="0"/>
        <v>39.344489910089052</v>
      </c>
      <c r="G29" s="11">
        <f t="shared" si="1"/>
        <v>29.068301459359972</v>
      </c>
      <c r="H29" s="12">
        <f t="shared" si="2"/>
        <v>0.73881505455497165</v>
      </c>
    </row>
    <row r="30" spans="1:8">
      <c r="A30" s="9">
        <v>2022</v>
      </c>
      <c r="B30" s="9" t="s">
        <v>74</v>
      </c>
      <c r="C30" s="10">
        <v>126248645.3</v>
      </c>
      <c r="D30" s="11">
        <v>6477808862.9700003</v>
      </c>
      <c r="E30" s="11">
        <v>4631286792.9700003</v>
      </c>
      <c r="F30" s="11">
        <f t="shared" si="0"/>
        <v>51.309927703200472</v>
      </c>
      <c r="G30" s="11">
        <f t="shared" si="1"/>
        <v>36.683853374939943</v>
      </c>
      <c r="H30" s="12">
        <f t="shared" si="2"/>
        <v>0.71494650288996164</v>
      </c>
    </row>
    <row r="31" spans="1:8">
      <c r="A31" s="9">
        <v>2022</v>
      </c>
      <c r="B31" s="9" t="s">
        <v>75</v>
      </c>
      <c r="C31" s="10">
        <v>27785362.899999999</v>
      </c>
      <c r="D31" s="11">
        <v>1805098877.8299999</v>
      </c>
      <c r="E31" s="11">
        <v>1378516201.8800001</v>
      </c>
      <c r="F31" s="11">
        <f t="shared" si="0"/>
        <v>64.965819749289651</v>
      </c>
      <c r="G31" s="11">
        <f t="shared" si="1"/>
        <v>49.613035713850628</v>
      </c>
      <c r="H31" s="12">
        <f t="shared" si="2"/>
        <v>0.76367905315922846</v>
      </c>
    </row>
    <row r="32" spans="1:8">
      <c r="A32" s="9">
        <v>2022</v>
      </c>
      <c r="B32" s="9" t="s">
        <v>76</v>
      </c>
      <c r="C32" s="10">
        <v>10771218.5</v>
      </c>
      <c r="D32" s="11">
        <v>449665670.14999998</v>
      </c>
      <c r="E32" s="11">
        <v>340031157.31999999</v>
      </c>
      <c r="F32" s="11">
        <f t="shared" si="0"/>
        <v>41.74696392520493</v>
      </c>
      <c r="G32" s="11">
        <f t="shared" si="1"/>
        <v>31.568494996178938</v>
      </c>
      <c r="H32" s="12">
        <f t="shared" si="2"/>
        <v>0.75618660683296557</v>
      </c>
    </row>
    <row r="33" spans="1:8">
      <c r="A33" s="9">
        <v>2022</v>
      </c>
      <c r="B33" s="9" t="s">
        <v>77</v>
      </c>
      <c r="C33" s="10">
        <v>11642493.699999999</v>
      </c>
      <c r="D33" s="11">
        <v>1743345954.1600001</v>
      </c>
      <c r="E33" s="11">
        <v>1347332019.03</v>
      </c>
      <c r="F33" s="11">
        <f t="shared" si="0"/>
        <v>149.73990960029468</v>
      </c>
      <c r="G33" s="11">
        <f t="shared" si="1"/>
        <v>115.72538098345719</v>
      </c>
      <c r="H33" s="12">
        <f t="shared" si="2"/>
        <v>0.77284259949379219</v>
      </c>
    </row>
    <row r="34" spans="1:8">
      <c r="A34" s="9">
        <v>2022</v>
      </c>
      <c r="B34" s="9" t="s">
        <v>78</v>
      </c>
      <c r="C34" s="10">
        <v>2228409.5</v>
      </c>
      <c r="D34" s="11">
        <v>203838551.03999999</v>
      </c>
      <c r="E34" s="11">
        <v>148841802.88999999</v>
      </c>
      <c r="F34" s="11">
        <f t="shared" si="0"/>
        <v>91.472662919449945</v>
      </c>
      <c r="G34" s="11">
        <f t="shared" si="1"/>
        <v>66.792841661283518</v>
      </c>
      <c r="H34" s="12">
        <f t="shared" si="2"/>
        <v>0.73019456884184886</v>
      </c>
    </row>
    <row r="35" spans="1:8">
      <c r="A35" s="9">
        <v>2022</v>
      </c>
      <c r="B35" s="9" t="s">
        <v>79</v>
      </c>
      <c r="C35" s="10">
        <v>148939</v>
      </c>
      <c r="D35" s="11">
        <v>14814543.880000001</v>
      </c>
      <c r="E35" s="11">
        <v>11131979.689999999</v>
      </c>
      <c r="F35" s="11">
        <f t="shared" si="0"/>
        <v>99.467190460524108</v>
      </c>
      <c r="G35" s="11">
        <f t="shared" si="1"/>
        <v>74.74187210871564</v>
      </c>
      <c r="H35" s="12">
        <f t="shared" si="2"/>
        <v>0.75142237116246602</v>
      </c>
    </row>
    <row r="36" spans="1:8">
      <c r="A36" s="9">
        <v>2022</v>
      </c>
      <c r="B36" s="9" t="s">
        <v>80</v>
      </c>
      <c r="C36" s="10">
        <v>4669430</v>
      </c>
      <c r="D36" s="11">
        <v>140388002.93000001</v>
      </c>
      <c r="E36" s="11">
        <v>108415190.37</v>
      </c>
      <c r="F36" s="11">
        <f t="shared" si="0"/>
        <v>30.065340508370401</v>
      </c>
      <c r="G36" s="11">
        <f t="shared" si="1"/>
        <v>23.218078088760301</v>
      </c>
      <c r="H36" s="12">
        <f t="shared" si="2"/>
        <v>0.77225395409362563</v>
      </c>
    </row>
    <row r="37" spans="1:8">
      <c r="A37" s="9">
        <v>2022</v>
      </c>
      <c r="B37" s="9" t="s">
        <v>81</v>
      </c>
      <c r="C37" s="10">
        <v>3132571.8</v>
      </c>
      <c r="D37" s="11">
        <v>286253976.05000001</v>
      </c>
      <c r="E37" s="11">
        <v>213959458.13999999</v>
      </c>
      <c r="F37" s="11">
        <f t="shared" si="0"/>
        <v>91.379861125609324</v>
      </c>
      <c r="G37" s="11">
        <f t="shared" si="1"/>
        <v>68.301533628056021</v>
      </c>
      <c r="H37" s="12">
        <f t="shared" si="2"/>
        <v>0.74744624019694894</v>
      </c>
    </row>
    <row r="38" spans="1:8">
      <c r="A38" s="9">
        <v>2022</v>
      </c>
      <c r="B38" s="9" t="s">
        <v>82</v>
      </c>
      <c r="C38" s="10">
        <v>11079874.4</v>
      </c>
      <c r="D38" s="11">
        <v>219075255.06999999</v>
      </c>
      <c r="E38" s="11">
        <v>170395368.11000001</v>
      </c>
      <c r="F38" s="11">
        <f t="shared" si="0"/>
        <v>19.772359068438536</v>
      </c>
      <c r="G38" s="11">
        <f t="shared" si="1"/>
        <v>15.378817661507066</v>
      </c>
      <c r="H38" s="12">
        <f t="shared" si="2"/>
        <v>0.7777937679705289</v>
      </c>
    </row>
    <row r="39" spans="1:8">
      <c r="A39" s="9">
        <v>2022</v>
      </c>
      <c r="B39" s="9" t="s">
        <v>83</v>
      </c>
      <c r="C39" s="10">
        <v>420687735.60000002</v>
      </c>
      <c r="D39" s="11">
        <v>8070157306.9300003</v>
      </c>
      <c r="E39" s="11">
        <v>6303315430.0200005</v>
      </c>
      <c r="F39" s="11">
        <f t="shared" si="0"/>
        <v>19.183248343144712</v>
      </c>
      <c r="G39" s="11">
        <f t="shared" si="1"/>
        <v>14.98335914411668</v>
      </c>
      <c r="H39" s="12">
        <f t="shared" si="2"/>
        <v>0.78106475379447948</v>
      </c>
    </row>
    <row r="40" spans="1:8">
      <c r="A40" s="9">
        <v>2022</v>
      </c>
      <c r="B40" s="9" t="s">
        <v>84</v>
      </c>
      <c r="C40" s="10">
        <v>1173934</v>
      </c>
      <c r="D40" s="11">
        <v>31763850.989999998</v>
      </c>
      <c r="E40" s="11">
        <v>24765709.920000002</v>
      </c>
      <c r="F40" s="11">
        <f t="shared" si="0"/>
        <v>27.057612259292259</v>
      </c>
      <c r="G40" s="11">
        <f t="shared" si="1"/>
        <v>21.096339249054889</v>
      </c>
      <c r="H40" s="12">
        <f t="shared" si="2"/>
        <v>0.77968222202644211</v>
      </c>
    </row>
    <row r="41" spans="1:8">
      <c r="A41" s="9">
        <v>2022</v>
      </c>
      <c r="B41" s="9" t="s">
        <v>85</v>
      </c>
      <c r="C41" s="10">
        <v>25615</v>
      </c>
      <c r="D41" s="11">
        <v>713567.58</v>
      </c>
      <c r="E41" s="11">
        <v>484093.98</v>
      </c>
      <c r="F41" s="11">
        <f t="shared" si="0"/>
        <v>27.857410892055434</v>
      </c>
      <c r="G41" s="11">
        <f t="shared" si="1"/>
        <v>18.898847550263518</v>
      </c>
      <c r="H41" s="12">
        <f t="shared" si="2"/>
        <v>0.67841364093363099</v>
      </c>
    </row>
    <row r="42" spans="1:8">
      <c r="A42" s="9">
        <v>2022</v>
      </c>
      <c r="B42" s="9" t="s">
        <v>86</v>
      </c>
      <c r="C42" s="10">
        <v>2507782</v>
      </c>
      <c r="D42" s="11">
        <v>16116472.109999999</v>
      </c>
      <c r="E42" s="11">
        <v>12720186.26</v>
      </c>
      <c r="F42" s="11">
        <f t="shared" si="0"/>
        <v>6.4265841727869484</v>
      </c>
      <c r="G42" s="11">
        <f t="shared" si="1"/>
        <v>5.0722854937151629</v>
      </c>
      <c r="H42" s="12">
        <f t="shared" si="2"/>
        <v>0.78926617271948363</v>
      </c>
    </row>
    <row r="43" spans="1:8">
      <c r="A43" s="9">
        <v>2022</v>
      </c>
      <c r="B43" s="9" t="s">
        <v>87</v>
      </c>
      <c r="C43" s="10">
        <v>838487</v>
      </c>
      <c r="D43" s="11">
        <v>71966590.840000004</v>
      </c>
      <c r="E43" s="11">
        <v>55831712.560000002</v>
      </c>
      <c r="F43" s="11">
        <f t="shared" si="0"/>
        <v>85.829107475727113</v>
      </c>
      <c r="G43" s="11">
        <f t="shared" si="1"/>
        <v>66.586259011767623</v>
      </c>
      <c r="H43" s="12">
        <f t="shared" si="2"/>
        <v>0.77580043612359062</v>
      </c>
    </row>
    <row r="44" spans="1:8">
      <c r="A44" s="9">
        <v>2022</v>
      </c>
      <c r="B44" s="9" t="s">
        <v>88</v>
      </c>
      <c r="C44" s="10">
        <v>150310</v>
      </c>
      <c r="D44" s="11">
        <v>7374011.6100000003</v>
      </c>
      <c r="E44" s="11">
        <v>5595799.21</v>
      </c>
      <c r="F44" s="11">
        <f t="shared" si="0"/>
        <v>49.058689441820242</v>
      </c>
      <c r="G44" s="11">
        <f t="shared" si="1"/>
        <v>37.228389395249813</v>
      </c>
      <c r="H44" s="12">
        <f t="shared" si="2"/>
        <v>0.75885413611384311</v>
      </c>
    </row>
    <row r="45" spans="1:8">
      <c r="A45" s="9">
        <v>2022</v>
      </c>
      <c r="B45" s="9" t="s">
        <v>89</v>
      </c>
      <c r="C45" s="10">
        <v>13484576.5</v>
      </c>
      <c r="D45" s="11">
        <v>1260242572.48</v>
      </c>
      <c r="E45" s="11">
        <v>984047509.11000001</v>
      </c>
      <c r="F45" s="11">
        <f t="shared" si="0"/>
        <v>93.458075786065663</v>
      </c>
      <c r="G45" s="11">
        <f t="shared" si="1"/>
        <v>72.975781561252589</v>
      </c>
      <c r="H45" s="12">
        <f t="shared" si="2"/>
        <v>0.7808397610100708</v>
      </c>
    </row>
    <row r="46" spans="1:8">
      <c r="A46" s="9">
        <v>2022</v>
      </c>
      <c r="B46" s="9" t="s">
        <v>90</v>
      </c>
      <c r="C46" s="10">
        <v>25214786.699999999</v>
      </c>
      <c r="D46" s="11">
        <v>1161013086.8800001</v>
      </c>
      <c r="E46" s="11">
        <v>895868777.22000003</v>
      </c>
      <c r="F46" s="11">
        <f t="shared" si="0"/>
        <v>46.044929933117388</v>
      </c>
      <c r="G46" s="11">
        <f t="shared" si="1"/>
        <v>35.52950052200918</v>
      </c>
      <c r="H46" s="12">
        <f t="shared" si="2"/>
        <v>0.77162676919299455</v>
      </c>
    </row>
    <row r="47" spans="1:8">
      <c r="A47" s="9">
        <v>2022</v>
      </c>
      <c r="B47" s="9" t="s">
        <v>91</v>
      </c>
      <c r="C47" s="10">
        <v>896446</v>
      </c>
      <c r="D47" s="11">
        <v>240832769.97</v>
      </c>
      <c r="E47" s="11">
        <v>186728618.80000001</v>
      </c>
      <c r="F47" s="11">
        <f t="shared" si="0"/>
        <v>268.65284687532767</v>
      </c>
      <c r="G47" s="11">
        <f t="shared" si="1"/>
        <v>208.29879189599822</v>
      </c>
      <c r="H47" s="12">
        <f t="shared" si="2"/>
        <v>0.77534555959000251</v>
      </c>
    </row>
    <row r="48" spans="1:8">
      <c r="A48" s="9">
        <v>2022</v>
      </c>
      <c r="B48" s="9" t="s">
        <v>92</v>
      </c>
      <c r="C48" s="10">
        <v>841438</v>
      </c>
      <c r="D48" s="11">
        <v>273674996.07999998</v>
      </c>
      <c r="E48" s="11">
        <v>212409833.61000001</v>
      </c>
      <c r="F48" s="11">
        <f t="shared" si="0"/>
        <v>325.24677525854548</v>
      </c>
      <c r="G48" s="11">
        <f t="shared" si="1"/>
        <v>252.43670194357756</v>
      </c>
      <c r="H48" s="12">
        <f t="shared" si="2"/>
        <v>0.77613898475368537</v>
      </c>
    </row>
    <row r="49" spans="1:8">
      <c r="A49" s="9">
        <v>2022</v>
      </c>
      <c r="B49" s="9" t="s">
        <v>93</v>
      </c>
      <c r="C49" s="10">
        <v>143062</v>
      </c>
      <c r="D49" s="11">
        <v>48073566.369999997</v>
      </c>
      <c r="E49" s="11">
        <v>37427107.539999999</v>
      </c>
      <c r="F49" s="11">
        <f t="shared" si="0"/>
        <v>336.03309313444521</v>
      </c>
      <c r="G49" s="11">
        <f t="shared" si="1"/>
        <v>261.61459744726062</v>
      </c>
      <c r="H49" s="12">
        <f t="shared" si="2"/>
        <v>0.77853819398254898</v>
      </c>
    </row>
    <row r="50" spans="1:8">
      <c r="A50" s="9">
        <v>2022</v>
      </c>
      <c r="B50" s="9" t="s">
        <v>94</v>
      </c>
      <c r="C50" s="10">
        <v>53695464.700000003</v>
      </c>
      <c r="D50" s="11">
        <v>749450638.63999999</v>
      </c>
      <c r="E50" s="11">
        <v>584897542.88999999</v>
      </c>
      <c r="F50" s="11">
        <f t="shared" si="0"/>
        <v>13.95742904595814</v>
      </c>
      <c r="G50" s="11">
        <f t="shared" si="1"/>
        <v>10.892866765524053</v>
      </c>
      <c r="H50" s="12">
        <f t="shared" si="2"/>
        <v>0.78043504499694827</v>
      </c>
    </row>
    <row r="51" spans="1:8">
      <c r="A51" s="9">
        <v>2022</v>
      </c>
      <c r="B51" s="9" t="s">
        <v>95</v>
      </c>
      <c r="C51" s="10">
        <v>4550</v>
      </c>
      <c r="D51" s="11">
        <v>494651.58</v>
      </c>
      <c r="E51" s="11">
        <v>387747.62</v>
      </c>
      <c r="F51" s="11">
        <f t="shared" si="0"/>
        <v>108.71463296703297</v>
      </c>
      <c r="G51" s="11">
        <f t="shared" si="1"/>
        <v>85.219257142857145</v>
      </c>
      <c r="H51" s="12">
        <f t="shared" si="2"/>
        <v>0.78388028195522996</v>
      </c>
    </row>
    <row r="52" spans="1:8">
      <c r="A52" s="9">
        <v>2022</v>
      </c>
      <c r="B52" s="9" t="s">
        <v>96</v>
      </c>
      <c r="C52" s="10">
        <v>36009</v>
      </c>
      <c r="D52" s="11">
        <v>44668.33</v>
      </c>
      <c r="E52" s="11">
        <v>35123.279999999999</v>
      </c>
      <c r="F52" s="11">
        <f t="shared" si="0"/>
        <v>1.2404768252381349</v>
      </c>
      <c r="G52" s="11">
        <f t="shared" si="1"/>
        <v>0.97540281596267597</v>
      </c>
      <c r="H52" s="12">
        <f t="shared" si="2"/>
        <v>0.78631280820214222</v>
      </c>
    </row>
    <row r="53" spans="1:8">
      <c r="A53" s="9">
        <v>2022</v>
      </c>
      <c r="B53" s="9" t="s">
        <v>97</v>
      </c>
      <c r="C53" s="10">
        <v>175226996.40000001</v>
      </c>
      <c r="D53" s="11">
        <v>9830222681.9500008</v>
      </c>
      <c r="E53" s="11">
        <v>7288539360.1599998</v>
      </c>
      <c r="F53" s="11">
        <f t="shared" si="0"/>
        <v>56.099932566954621</v>
      </c>
      <c r="G53" s="11">
        <f t="shared" si="1"/>
        <v>41.594842746274452</v>
      </c>
      <c r="H53" s="12">
        <f t="shared" si="2"/>
        <v>0.74144193839505046</v>
      </c>
    </row>
    <row r="54" spans="1:8">
      <c r="A54" s="9">
        <v>2022</v>
      </c>
      <c r="B54" s="9" t="s">
        <v>98</v>
      </c>
      <c r="C54" s="10">
        <v>12627348.5</v>
      </c>
      <c r="D54" s="11">
        <v>1222164554.3800001</v>
      </c>
      <c r="E54" s="11">
        <v>923367459.64999998</v>
      </c>
      <c r="F54" s="11">
        <f t="shared" si="0"/>
        <v>96.787108899386126</v>
      </c>
      <c r="G54" s="11">
        <f t="shared" si="1"/>
        <v>73.124414016925243</v>
      </c>
      <c r="H54" s="12">
        <f t="shared" si="2"/>
        <v>0.75551811443134276</v>
      </c>
    </row>
    <row r="55" spans="1:8">
      <c r="A55" s="9">
        <v>2022</v>
      </c>
      <c r="B55" s="9" t="s">
        <v>99</v>
      </c>
      <c r="C55" s="10">
        <v>7827876.5999999996</v>
      </c>
      <c r="D55" s="11">
        <v>433301554.57999998</v>
      </c>
      <c r="E55" s="11">
        <v>331776851.07999998</v>
      </c>
      <c r="F55" s="11">
        <f t="shared" si="0"/>
        <v>55.353651663338688</v>
      </c>
      <c r="G55" s="11">
        <f t="shared" si="1"/>
        <v>42.384016513494863</v>
      </c>
      <c r="H55" s="12">
        <f t="shared" si="2"/>
        <v>0.76569503980107323</v>
      </c>
    </row>
    <row r="56" spans="1:8">
      <c r="A56" s="9">
        <v>2022</v>
      </c>
      <c r="B56" s="9" t="s">
        <v>100</v>
      </c>
      <c r="C56" s="10">
        <v>7419001.5999999996</v>
      </c>
      <c r="D56" s="11">
        <v>497055368.91000003</v>
      </c>
      <c r="E56" s="11">
        <v>387482255.29000002</v>
      </c>
      <c r="F56" s="11">
        <f t="shared" si="0"/>
        <v>66.997609073166942</v>
      </c>
      <c r="G56" s="11">
        <f t="shared" si="1"/>
        <v>52.228355805988777</v>
      </c>
      <c r="H56" s="12">
        <f t="shared" si="2"/>
        <v>0.7795555174058687</v>
      </c>
    </row>
    <row r="57" spans="1:8">
      <c r="A57" s="9">
        <v>2022</v>
      </c>
      <c r="B57" s="9" t="s">
        <v>101</v>
      </c>
      <c r="C57" s="10">
        <v>7148491.5999999996</v>
      </c>
      <c r="D57" s="11">
        <v>635337232.03999996</v>
      </c>
      <c r="E57" s="11">
        <v>477298032.89999998</v>
      </c>
      <c r="F57" s="11">
        <f t="shared" si="0"/>
        <v>88.877104092841066</v>
      </c>
      <c r="G57" s="11">
        <f t="shared" si="1"/>
        <v>66.769055572507071</v>
      </c>
      <c r="H57" s="12">
        <f t="shared" si="2"/>
        <v>0.75125147532664971</v>
      </c>
    </row>
    <row r="58" spans="1:8">
      <c r="A58" s="9">
        <v>2022</v>
      </c>
      <c r="B58" s="9" t="s">
        <v>102</v>
      </c>
      <c r="C58" s="10">
        <v>23320</v>
      </c>
      <c r="D58" s="11">
        <v>1923299.27</v>
      </c>
      <c r="E58" s="11">
        <v>1833217.19</v>
      </c>
      <c r="F58" s="11">
        <f t="shared" si="0"/>
        <v>82.474239708404809</v>
      </c>
      <c r="G58" s="11">
        <f t="shared" si="1"/>
        <v>78.611371783876493</v>
      </c>
      <c r="H58" s="12">
        <f t="shared" si="2"/>
        <v>0.9531627337434595</v>
      </c>
    </row>
    <row r="59" spans="1:8">
      <c r="A59" s="9">
        <v>2022</v>
      </c>
      <c r="B59" s="9" t="s">
        <v>103</v>
      </c>
      <c r="C59" s="10">
        <v>47839976.799999997</v>
      </c>
      <c r="D59" s="11">
        <v>1281706852.4300001</v>
      </c>
      <c r="E59" s="11">
        <v>1257248798.5999999</v>
      </c>
      <c r="F59" s="11">
        <f t="shared" si="0"/>
        <v>26.791544188834141</v>
      </c>
      <c r="G59" s="11">
        <f t="shared" si="1"/>
        <v>26.280296996297874</v>
      </c>
      <c r="H59" s="12">
        <f t="shared" si="2"/>
        <v>0.98091759142612844</v>
      </c>
    </row>
    <row r="60" spans="1:8">
      <c r="A60" s="9">
        <v>2022</v>
      </c>
      <c r="B60" s="9" t="s">
        <v>104</v>
      </c>
      <c r="C60" s="10">
        <v>94486</v>
      </c>
      <c r="D60" s="11">
        <v>15471186.09</v>
      </c>
      <c r="E60" s="11">
        <v>11696695.619999999</v>
      </c>
      <c r="F60" s="11">
        <f t="shared" si="0"/>
        <v>163.74051277437928</v>
      </c>
      <c r="G60" s="11">
        <f t="shared" si="1"/>
        <v>123.79289651376922</v>
      </c>
      <c r="H60" s="12">
        <f t="shared" si="2"/>
        <v>0.75603095664141151</v>
      </c>
    </row>
    <row r="61" spans="1:8">
      <c r="A61" s="9">
        <v>2022</v>
      </c>
      <c r="B61" s="9" t="s">
        <v>105</v>
      </c>
      <c r="C61" s="10">
        <v>8442</v>
      </c>
      <c r="D61" s="11">
        <v>879473.42</v>
      </c>
      <c r="E61" s="11">
        <v>650455.31000000006</v>
      </c>
      <c r="F61" s="11">
        <f t="shared" si="0"/>
        <v>104.17832504145937</v>
      </c>
      <c r="G61" s="11">
        <f t="shared" si="1"/>
        <v>77.049906420279555</v>
      </c>
      <c r="H61" s="12">
        <f t="shared" si="2"/>
        <v>0.73959632571954248</v>
      </c>
    </row>
    <row r="62" spans="1:8">
      <c r="A62" s="9">
        <v>2022</v>
      </c>
      <c r="B62" s="9" t="s">
        <v>106</v>
      </c>
      <c r="C62" s="10">
        <v>118383915.90000001</v>
      </c>
      <c r="D62" s="11">
        <v>2444757236.98</v>
      </c>
      <c r="E62" s="11">
        <v>1910118110.4300001</v>
      </c>
      <c r="F62" s="11">
        <f t="shared" si="0"/>
        <v>20.651092831268642</v>
      </c>
      <c r="G62" s="11">
        <f t="shared" si="1"/>
        <v>16.134946169912936</v>
      </c>
      <c r="H62" s="12">
        <f t="shared" si="2"/>
        <v>0.7813119771309327</v>
      </c>
    </row>
    <row r="63" spans="1:8">
      <c r="A63" s="9">
        <v>2022</v>
      </c>
      <c r="B63" s="9" t="s">
        <v>107</v>
      </c>
      <c r="C63" s="10">
        <v>443158337</v>
      </c>
      <c r="D63" s="11">
        <v>5685187375.5600004</v>
      </c>
      <c r="E63" s="11">
        <v>4348390666.21</v>
      </c>
      <c r="F63" s="11">
        <f t="shared" si="0"/>
        <v>12.828794814165937</v>
      </c>
      <c r="G63" s="11">
        <f t="shared" si="1"/>
        <v>9.8122731835461323</v>
      </c>
      <c r="H63" s="12">
        <f t="shared" si="2"/>
        <v>0.76486321012096392</v>
      </c>
    </row>
    <row r="64" spans="1:8">
      <c r="A64" s="9">
        <v>2022</v>
      </c>
      <c r="B64" s="9" t="s">
        <v>108</v>
      </c>
      <c r="C64" s="10">
        <v>1587002</v>
      </c>
      <c r="D64" s="11">
        <v>147055839.83000001</v>
      </c>
      <c r="E64" s="11">
        <v>113972145.31</v>
      </c>
      <c r="F64" s="11">
        <f t="shared" si="0"/>
        <v>92.662668244904552</v>
      </c>
      <c r="G64" s="11">
        <f t="shared" si="1"/>
        <v>71.816006098290998</v>
      </c>
      <c r="H64" s="12">
        <f t="shared" si="2"/>
        <v>0.77502631273776323</v>
      </c>
    </row>
    <row r="65" spans="1:8">
      <c r="A65" s="9">
        <v>2022</v>
      </c>
      <c r="B65" s="9" t="s">
        <v>109</v>
      </c>
      <c r="C65" s="10">
        <v>425120</v>
      </c>
      <c r="D65" s="11">
        <v>18368455.77</v>
      </c>
      <c r="E65" s="11">
        <v>14259067.640000001</v>
      </c>
      <c r="F65" s="11">
        <f t="shared" si="0"/>
        <v>43.207696109333831</v>
      </c>
      <c r="G65" s="11">
        <f t="shared" si="1"/>
        <v>33.541276910048929</v>
      </c>
      <c r="H65" s="12">
        <f t="shared" si="2"/>
        <v>0.77628015215565405</v>
      </c>
    </row>
    <row r="66" spans="1:8">
      <c r="A66" s="9">
        <v>2022</v>
      </c>
      <c r="B66" s="9" t="s">
        <v>110</v>
      </c>
      <c r="C66" s="10">
        <v>419059</v>
      </c>
      <c r="D66" s="11">
        <v>26859708.690000001</v>
      </c>
      <c r="E66" s="11">
        <v>20720041.809999999</v>
      </c>
      <c r="F66" s="11">
        <f t="shared" ref="F66:F127" si="3">IFERROR(D66/C66,0)</f>
        <v>64.095291331292259</v>
      </c>
      <c r="G66" s="11">
        <f t="shared" ref="G66:G127" si="4">IFERROR(E66/C66,0)</f>
        <v>49.444211459484222</v>
      </c>
      <c r="H66" s="12">
        <f t="shared" ref="H66:H127" si="5">IFERROR(E66/D66,0)</f>
        <v>0.77141722008750491</v>
      </c>
    </row>
    <row r="67" spans="1:8">
      <c r="A67" s="9">
        <v>2022</v>
      </c>
      <c r="B67" s="9" t="s">
        <v>111</v>
      </c>
      <c r="C67" s="10">
        <v>1469318</v>
      </c>
      <c r="D67" s="11">
        <v>140820112.50999999</v>
      </c>
      <c r="E67" s="11">
        <v>108902755.77</v>
      </c>
      <c r="F67" s="11">
        <f t="shared" si="3"/>
        <v>95.840459662237848</v>
      </c>
      <c r="G67" s="11">
        <f t="shared" si="4"/>
        <v>74.117893995717736</v>
      </c>
      <c r="H67" s="12">
        <f t="shared" si="5"/>
        <v>0.77334660389698617</v>
      </c>
    </row>
    <row r="68" spans="1:8">
      <c r="A68" s="9">
        <v>2022</v>
      </c>
      <c r="B68" s="9" t="s">
        <v>112</v>
      </c>
      <c r="C68" s="10">
        <v>491018</v>
      </c>
      <c r="D68" s="11">
        <v>10104285</v>
      </c>
      <c r="E68" s="11">
        <v>7675287.1500000004</v>
      </c>
      <c r="F68" s="11">
        <f t="shared" si="3"/>
        <v>20.578237457689941</v>
      </c>
      <c r="G68" s="11">
        <f t="shared" si="4"/>
        <v>15.63137634465539</v>
      </c>
      <c r="H68" s="12">
        <f t="shared" si="5"/>
        <v>0.75960715181727356</v>
      </c>
    </row>
    <row r="69" spans="1:8">
      <c r="A69" s="9">
        <v>2022</v>
      </c>
      <c r="B69" s="9" t="s">
        <v>113</v>
      </c>
      <c r="C69" s="10">
        <v>43996208</v>
      </c>
      <c r="D69" s="11">
        <v>1003271273.6900001</v>
      </c>
      <c r="E69" s="11">
        <v>753537034.71000004</v>
      </c>
      <c r="F69" s="11">
        <f t="shared" si="3"/>
        <v>22.80358511101684</v>
      </c>
      <c r="G69" s="11">
        <f t="shared" si="4"/>
        <v>17.127317761339796</v>
      </c>
      <c r="H69" s="12">
        <f t="shared" si="5"/>
        <v>0.75108004631540448</v>
      </c>
    </row>
    <row r="70" spans="1:8">
      <c r="A70" s="9">
        <v>2022</v>
      </c>
      <c r="B70" s="9" t="s">
        <v>114</v>
      </c>
      <c r="C70" s="10">
        <v>8733</v>
      </c>
      <c r="D70" s="11">
        <v>1203974.43</v>
      </c>
      <c r="E70" s="11">
        <v>959377.55</v>
      </c>
      <c r="F70" s="11">
        <f t="shared" si="3"/>
        <v>137.86492957746478</v>
      </c>
      <c r="G70" s="11">
        <f t="shared" si="4"/>
        <v>109.85658422077179</v>
      </c>
      <c r="H70" s="12">
        <f t="shared" si="5"/>
        <v>0.7968421306090363</v>
      </c>
    </row>
    <row r="71" spans="1:8">
      <c r="A71" s="9">
        <v>2022</v>
      </c>
      <c r="B71" s="9" t="s">
        <v>115</v>
      </c>
      <c r="C71" s="10">
        <v>2554</v>
      </c>
      <c r="D71" s="11">
        <v>232762.3</v>
      </c>
      <c r="E71" s="11">
        <v>229936.05</v>
      </c>
      <c r="F71" s="11">
        <f t="shared" si="3"/>
        <v>91.136374314800307</v>
      </c>
      <c r="G71" s="11">
        <f t="shared" si="4"/>
        <v>90.029776820673447</v>
      </c>
      <c r="H71" s="12">
        <f t="shared" si="5"/>
        <v>0.98785778452953932</v>
      </c>
    </row>
    <row r="72" spans="1:8">
      <c r="A72" s="9">
        <v>2022</v>
      </c>
      <c r="B72" s="9" t="s">
        <v>116</v>
      </c>
      <c r="C72" s="10">
        <v>1466913</v>
      </c>
      <c r="D72" s="11">
        <v>271744095.24000001</v>
      </c>
      <c r="E72" s="11">
        <v>210107950.47999999</v>
      </c>
      <c r="F72" s="11">
        <f t="shared" si="3"/>
        <v>185.248951532913</v>
      </c>
      <c r="G72" s="11">
        <f t="shared" si="4"/>
        <v>143.23136442311164</v>
      </c>
      <c r="H72" s="12">
        <f t="shared" si="5"/>
        <v>0.77318313133698835</v>
      </c>
    </row>
    <row r="73" spans="1:8">
      <c r="A73" s="9">
        <v>2022</v>
      </c>
      <c r="B73" s="9" t="s">
        <v>117</v>
      </c>
      <c r="C73" s="10">
        <v>21205980.699999999</v>
      </c>
      <c r="D73" s="11">
        <v>1930595115.8099999</v>
      </c>
      <c r="E73" s="11">
        <v>1471776149.95</v>
      </c>
      <c r="F73" s="11">
        <f t="shared" si="3"/>
        <v>91.040124157521277</v>
      </c>
      <c r="G73" s="11">
        <f t="shared" si="4"/>
        <v>69.403823891530749</v>
      </c>
      <c r="H73" s="12">
        <f t="shared" si="5"/>
        <v>0.7623432473734929</v>
      </c>
    </row>
    <row r="74" spans="1:8">
      <c r="A74" s="9">
        <v>2022</v>
      </c>
      <c r="B74" s="9" t="s">
        <v>118</v>
      </c>
      <c r="C74" s="10">
        <v>53496895.299999997</v>
      </c>
      <c r="D74" s="11">
        <v>2069588596.45</v>
      </c>
      <c r="E74" s="11">
        <v>1555605239.4100001</v>
      </c>
      <c r="F74" s="11">
        <f t="shared" si="3"/>
        <v>38.686144024698201</v>
      </c>
      <c r="G74" s="11">
        <f t="shared" si="4"/>
        <v>29.078420919316418</v>
      </c>
      <c r="H74" s="12">
        <f t="shared" si="5"/>
        <v>0.75164950274579001</v>
      </c>
    </row>
    <row r="75" spans="1:8">
      <c r="A75" s="9">
        <v>2022</v>
      </c>
      <c r="B75" s="9" t="s">
        <v>119</v>
      </c>
      <c r="C75" s="10">
        <v>196980</v>
      </c>
      <c r="D75" s="11">
        <v>11233756.119999999</v>
      </c>
      <c r="E75" s="11">
        <v>8475007.6600000001</v>
      </c>
      <c r="F75" s="11">
        <f t="shared" si="3"/>
        <v>57.029932581988014</v>
      </c>
      <c r="G75" s="11">
        <f t="shared" si="4"/>
        <v>43.024711442786071</v>
      </c>
      <c r="H75" s="12">
        <f t="shared" si="5"/>
        <v>0.7544233263985084</v>
      </c>
    </row>
    <row r="76" spans="1:8">
      <c r="A76" s="9">
        <v>2022</v>
      </c>
      <c r="B76" s="9" t="s">
        <v>120</v>
      </c>
      <c r="C76" s="10">
        <v>2748976.5</v>
      </c>
      <c r="D76" s="11">
        <v>737026225.32000005</v>
      </c>
      <c r="E76" s="11">
        <v>573180818.23000002</v>
      </c>
      <c r="F76" s="11">
        <f t="shared" si="3"/>
        <v>268.10932189489438</v>
      </c>
      <c r="G76" s="11">
        <f t="shared" si="4"/>
        <v>208.50699095827122</v>
      </c>
      <c r="H76" s="12">
        <f t="shared" si="5"/>
        <v>0.77769392531607395</v>
      </c>
    </row>
    <row r="77" spans="1:8">
      <c r="A77" s="9">
        <v>2022</v>
      </c>
      <c r="B77" s="9" t="s">
        <v>121</v>
      </c>
      <c r="C77" s="10">
        <v>2074930.2</v>
      </c>
      <c r="D77" s="11">
        <v>172334901.81999999</v>
      </c>
      <c r="E77" s="11">
        <v>134877498.81999999</v>
      </c>
      <c r="F77" s="11">
        <f t="shared" si="3"/>
        <v>83.055758608169086</v>
      </c>
      <c r="G77" s="11">
        <f t="shared" si="4"/>
        <v>65.003390870690495</v>
      </c>
      <c r="H77" s="12">
        <f t="shared" si="5"/>
        <v>0.78264760878720063</v>
      </c>
    </row>
    <row r="78" spans="1:8">
      <c r="A78" s="9">
        <v>2022</v>
      </c>
      <c r="B78" s="9" t="s">
        <v>122</v>
      </c>
      <c r="C78" s="10">
        <v>153911440.69999999</v>
      </c>
      <c r="D78" s="11">
        <v>7399227250.1000004</v>
      </c>
      <c r="E78" s="11">
        <v>5545305454.8999996</v>
      </c>
      <c r="F78" s="11">
        <f t="shared" si="3"/>
        <v>48.074575979847879</v>
      </c>
      <c r="G78" s="11">
        <f t="shared" si="4"/>
        <v>36.029195943326648</v>
      </c>
      <c r="H78" s="12">
        <f t="shared" si="5"/>
        <v>0.74944386318517986</v>
      </c>
    </row>
    <row r="79" spans="1:8">
      <c r="A79" s="9">
        <v>2022</v>
      </c>
      <c r="B79" s="9" t="s">
        <v>123</v>
      </c>
      <c r="C79" s="10">
        <v>2408</v>
      </c>
      <c r="D79" s="11">
        <v>13982.76</v>
      </c>
      <c r="E79" s="11">
        <v>10827.82</v>
      </c>
      <c r="F79" s="11">
        <f t="shared" si="3"/>
        <v>5.8067940199335553</v>
      </c>
      <c r="G79" s="11">
        <f t="shared" si="4"/>
        <v>4.4966029900332227</v>
      </c>
      <c r="H79" s="12">
        <f t="shared" si="5"/>
        <v>0.77436929476011884</v>
      </c>
    </row>
    <row r="80" spans="1:8">
      <c r="A80" s="9">
        <v>2022</v>
      </c>
      <c r="B80" s="9" t="s">
        <v>124</v>
      </c>
      <c r="C80" s="10">
        <v>8979070.4000000004</v>
      </c>
      <c r="D80" s="11">
        <v>562443714.67999995</v>
      </c>
      <c r="E80" s="11">
        <v>429093662.55000001</v>
      </c>
      <c r="F80" s="11">
        <f t="shared" si="3"/>
        <v>62.639414730504832</v>
      </c>
      <c r="G80" s="11">
        <f t="shared" si="4"/>
        <v>47.788205619815606</v>
      </c>
      <c r="H80" s="12">
        <f t="shared" si="5"/>
        <v>0.76290951672227525</v>
      </c>
    </row>
    <row r="81" spans="1:8">
      <c r="A81" s="9">
        <v>2022</v>
      </c>
      <c r="B81" s="9" t="s">
        <v>125</v>
      </c>
      <c r="C81" s="10">
        <v>15511274.4</v>
      </c>
      <c r="D81" s="11">
        <v>458397129.67000002</v>
      </c>
      <c r="E81" s="11">
        <v>349086778.63</v>
      </c>
      <c r="F81" s="11">
        <f t="shared" si="3"/>
        <v>29.552512440241532</v>
      </c>
      <c r="G81" s="11">
        <f t="shared" si="4"/>
        <v>22.505357691950831</v>
      </c>
      <c r="H81" s="12">
        <f t="shared" si="5"/>
        <v>0.76153788066104922</v>
      </c>
    </row>
    <row r="82" spans="1:8">
      <c r="A82" s="9">
        <v>2022</v>
      </c>
      <c r="B82" s="9" t="s">
        <v>126</v>
      </c>
      <c r="C82" s="10">
        <v>20315</v>
      </c>
      <c r="D82" s="11">
        <v>5881904.1200000001</v>
      </c>
      <c r="E82" s="11">
        <v>4499143.76</v>
      </c>
      <c r="F82" s="11">
        <f t="shared" si="3"/>
        <v>289.53502928870296</v>
      </c>
      <c r="G82" s="11">
        <f t="shared" si="4"/>
        <v>221.46905045532856</v>
      </c>
      <c r="H82" s="12">
        <f t="shared" si="5"/>
        <v>0.76491280174080767</v>
      </c>
    </row>
    <row r="83" spans="1:8">
      <c r="A83" s="9">
        <v>2022</v>
      </c>
      <c r="B83" s="9" t="s">
        <v>127</v>
      </c>
      <c r="C83" s="10">
        <v>58505202.200000003</v>
      </c>
      <c r="D83" s="11">
        <v>9626166186.4999905</v>
      </c>
      <c r="E83" s="11">
        <v>7249779931.5699997</v>
      </c>
      <c r="F83" s="11">
        <f t="shared" si="3"/>
        <v>164.53521780153747</v>
      </c>
      <c r="G83" s="11">
        <f t="shared" si="4"/>
        <v>123.91684258754684</v>
      </c>
      <c r="H83" s="12">
        <f t="shared" si="5"/>
        <v>0.75313263776157302</v>
      </c>
    </row>
    <row r="84" spans="1:8">
      <c r="A84" s="9">
        <v>2022</v>
      </c>
      <c r="B84" s="9" t="s">
        <v>128</v>
      </c>
      <c r="C84" s="10">
        <v>1498807</v>
      </c>
      <c r="D84" s="11">
        <v>238279607.62</v>
      </c>
      <c r="E84" s="11">
        <v>230315026.94</v>
      </c>
      <c r="F84" s="11">
        <f t="shared" si="3"/>
        <v>158.97951345303298</v>
      </c>
      <c r="G84" s="11">
        <f t="shared" si="4"/>
        <v>153.6655666406682</v>
      </c>
      <c r="H84" s="12">
        <f t="shared" si="5"/>
        <v>0.96657464413529826</v>
      </c>
    </row>
    <row r="85" spans="1:8">
      <c r="A85" s="9">
        <v>2022</v>
      </c>
      <c r="B85" s="9" t="s">
        <v>129</v>
      </c>
      <c r="C85" s="10">
        <v>49681</v>
      </c>
      <c r="D85" s="11">
        <v>3036626.6</v>
      </c>
      <c r="E85" s="11">
        <v>2272975.44</v>
      </c>
      <c r="F85" s="11">
        <f t="shared" si="3"/>
        <v>61.122493508584775</v>
      </c>
      <c r="G85" s="11">
        <f t="shared" si="4"/>
        <v>45.751402749542081</v>
      </c>
      <c r="H85" s="12">
        <f t="shared" si="5"/>
        <v>0.74851990033940952</v>
      </c>
    </row>
    <row r="86" spans="1:8">
      <c r="A86" s="9">
        <v>2022</v>
      </c>
      <c r="B86" s="9" t="s">
        <v>130</v>
      </c>
      <c r="C86" s="10">
        <v>15200308.1</v>
      </c>
      <c r="D86" s="11">
        <v>1344094733.95</v>
      </c>
      <c r="E86" s="11">
        <v>889997255.58000004</v>
      </c>
      <c r="F86" s="11">
        <f t="shared" si="3"/>
        <v>88.425492766820966</v>
      </c>
      <c r="G86" s="11">
        <f t="shared" si="4"/>
        <v>58.551264206282774</v>
      </c>
      <c r="H86" s="12">
        <f t="shared" si="5"/>
        <v>0.66215366603252213</v>
      </c>
    </row>
    <row r="87" spans="1:8">
      <c r="A87" s="9">
        <v>2022</v>
      </c>
      <c r="B87" s="9" t="s">
        <v>131</v>
      </c>
      <c r="C87" s="10">
        <v>245528</v>
      </c>
      <c r="D87" s="11">
        <v>65071956.409999996</v>
      </c>
      <c r="E87" s="11">
        <v>50331049.770000003</v>
      </c>
      <c r="F87" s="11">
        <f t="shared" si="3"/>
        <v>265.02865827930009</v>
      </c>
      <c r="G87" s="11">
        <f t="shared" si="4"/>
        <v>204.99107951027989</v>
      </c>
      <c r="H87" s="12">
        <f t="shared" si="5"/>
        <v>0.77346759720697944</v>
      </c>
    </row>
    <row r="88" spans="1:8">
      <c r="A88" s="9">
        <v>2022</v>
      </c>
      <c r="B88" s="9" t="s">
        <v>132</v>
      </c>
      <c r="C88" s="10">
        <v>51405253.299999997</v>
      </c>
      <c r="D88" s="11">
        <v>3966745140.8099999</v>
      </c>
      <c r="E88" s="11">
        <v>2999401062.4400001</v>
      </c>
      <c r="F88" s="11">
        <f t="shared" si="3"/>
        <v>77.166143266723296</v>
      </c>
      <c r="G88" s="11">
        <f t="shared" si="4"/>
        <v>58.348142843214049</v>
      </c>
      <c r="H88" s="12">
        <f t="shared" si="5"/>
        <v>0.75613656939591778</v>
      </c>
    </row>
    <row r="89" spans="1:8">
      <c r="A89" s="9">
        <v>2022</v>
      </c>
      <c r="B89" s="9" t="s">
        <v>133</v>
      </c>
      <c r="C89" s="10">
        <v>872016.5</v>
      </c>
      <c r="D89" s="11">
        <v>62326934.600000001</v>
      </c>
      <c r="E89" s="11">
        <v>47114174.039999999</v>
      </c>
      <c r="F89" s="11">
        <f t="shared" si="3"/>
        <v>71.474489989581627</v>
      </c>
      <c r="G89" s="11">
        <f t="shared" si="4"/>
        <v>54.028993763306083</v>
      </c>
      <c r="H89" s="12">
        <f t="shared" si="5"/>
        <v>0.75591996208971257</v>
      </c>
    </row>
    <row r="90" spans="1:8">
      <c r="A90" s="9">
        <v>2022</v>
      </c>
      <c r="B90" s="9" t="s">
        <v>134</v>
      </c>
      <c r="C90" s="10">
        <v>13902060.199999999</v>
      </c>
      <c r="D90" s="11">
        <v>1219197725.8699999</v>
      </c>
      <c r="E90" s="11">
        <v>900760591.5</v>
      </c>
      <c r="F90" s="11">
        <f t="shared" si="3"/>
        <v>87.699068219399592</v>
      </c>
      <c r="G90" s="11">
        <f t="shared" si="4"/>
        <v>64.793316856734663</v>
      </c>
      <c r="H90" s="12">
        <f t="shared" si="5"/>
        <v>0.7388141991958127</v>
      </c>
    </row>
    <row r="91" spans="1:8">
      <c r="A91" s="9">
        <v>2022</v>
      </c>
      <c r="B91" s="9" t="s">
        <v>135</v>
      </c>
      <c r="C91" s="10">
        <v>3205935</v>
      </c>
      <c r="D91" s="11">
        <v>101359309.81999999</v>
      </c>
      <c r="E91" s="11">
        <v>77136322.930000007</v>
      </c>
      <c r="F91" s="11">
        <f t="shared" si="3"/>
        <v>31.616146247506574</v>
      </c>
      <c r="G91" s="11">
        <f t="shared" si="4"/>
        <v>24.060476251078082</v>
      </c>
      <c r="H91" s="12">
        <f t="shared" si="5"/>
        <v>0.76101862835277156</v>
      </c>
    </row>
    <row r="92" spans="1:8">
      <c r="A92" s="9">
        <v>2022</v>
      </c>
      <c r="B92" s="9" t="s">
        <v>136</v>
      </c>
      <c r="C92" s="10">
        <v>9763168</v>
      </c>
      <c r="D92" s="11">
        <v>639022237.03999996</v>
      </c>
      <c r="E92" s="11">
        <v>489237349.43000001</v>
      </c>
      <c r="F92" s="11">
        <f t="shared" si="3"/>
        <v>65.452344673368316</v>
      </c>
      <c r="G92" s="11">
        <f t="shared" si="4"/>
        <v>50.110512226154462</v>
      </c>
      <c r="H92" s="12">
        <f t="shared" si="5"/>
        <v>0.76560301202691305</v>
      </c>
    </row>
    <row r="93" spans="1:8">
      <c r="A93" s="9">
        <v>2022</v>
      </c>
      <c r="B93" s="9" t="s">
        <v>137</v>
      </c>
      <c r="C93" s="10">
        <v>31502995.699999999</v>
      </c>
      <c r="D93" s="11">
        <v>1338005971.3699999</v>
      </c>
      <c r="E93" s="11">
        <v>1053791914.72</v>
      </c>
      <c r="F93" s="11">
        <f t="shared" si="3"/>
        <v>42.4723408564602</v>
      </c>
      <c r="G93" s="11">
        <f t="shared" si="4"/>
        <v>33.450530379877492</v>
      </c>
      <c r="H93" s="12">
        <f t="shared" si="5"/>
        <v>0.78758386529546665</v>
      </c>
    </row>
    <row r="94" spans="1:8">
      <c r="A94" s="9">
        <v>2022</v>
      </c>
      <c r="B94" s="9" t="s">
        <v>138</v>
      </c>
      <c r="C94" s="10">
        <v>2488495.6</v>
      </c>
      <c r="D94" s="11">
        <v>92259072</v>
      </c>
      <c r="E94" s="11">
        <v>70111568.430000007</v>
      </c>
      <c r="F94" s="11">
        <f t="shared" si="3"/>
        <v>37.074235534111452</v>
      </c>
      <c r="G94" s="11">
        <f t="shared" si="4"/>
        <v>28.174278640476601</v>
      </c>
      <c r="H94" s="12">
        <f t="shared" si="5"/>
        <v>0.75994226811646237</v>
      </c>
    </row>
    <row r="95" spans="1:8">
      <c r="A95" s="9">
        <v>2022</v>
      </c>
      <c r="B95" s="9" t="s">
        <v>139</v>
      </c>
      <c r="C95" s="10">
        <v>65055</v>
      </c>
      <c r="D95" s="11">
        <v>6195746.8099999996</v>
      </c>
      <c r="E95" s="11">
        <v>4830750.4400000004</v>
      </c>
      <c r="F95" s="11">
        <f t="shared" si="3"/>
        <v>95.238595188686489</v>
      </c>
      <c r="G95" s="11">
        <f t="shared" si="4"/>
        <v>74.256405195603733</v>
      </c>
      <c r="H95" s="12">
        <f t="shared" si="5"/>
        <v>0.7796881615954866</v>
      </c>
    </row>
    <row r="96" spans="1:8">
      <c r="A96" s="9">
        <v>2022</v>
      </c>
      <c r="B96" s="9" t="s">
        <v>140</v>
      </c>
      <c r="C96" s="10">
        <v>87893</v>
      </c>
      <c r="D96" s="11">
        <v>21525582.449999999</v>
      </c>
      <c r="E96" s="11">
        <v>16666794.08</v>
      </c>
      <c r="F96" s="11">
        <f t="shared" si="3"/>
        <v>244.90667573071804</v>
      </c>
      <c r="G96" s="11">
        <f t="shared" si="4"/>
        <v>189.62595519552184</v>
      </c>
      <c r="H96" s="12">
        <f t="shared" si="5"/>
        <v>0.77427842515824707</v>
      </c>
    </row>
    <row r="97" spans="1:8">
      <c r="A97" s="9">
        <v>2022</v>
      </c>
      <c r="B97" s="9" t="s">
        <v>141</v>
      </c>
      <c r="C97" s="10">
        <v>1899070721.0999999</v>
      </c>
      <c r="D97" s="11">
        <v>4132754764.5500002</v>
      </c>
      <c r="E97" s="11">
        <v>3249745272.1199999</v>
      </c>
      <c r="F97" s="11">
        <f t="shared" si="3"/>
        <v>2.1761984525548277</v>
      </c>
      <c r="G97" s="11">
        <f t="shared" si="4"/>
        <v>1.7112292006890866</v>
      </c>
      <c r="H97" s="12">
        <f t="shared" si="5"/>
        <v>0.7863387636730127</v>
      </c>
    </row>
    <row r="98" spans="1:8">
      <c r="A98" s="9">
        <v>2022</v>
      </c>
      <c r="B98" s="9" t="s">
        <v>142</v>
      </c>
      <c r="C98" s="10">
        <v>27131349</v>
      </c>
      <c r="D98" s="11">
        <v>1241457154.9400001</v>
      </c>
      <c r="E98" s="11">
        <v>951870966.20000005</v>
      </c>
      <c r="F98" s="11">
        <f t="shared" si="3"/>
        <v>45.75729555283079</v>
      </c>
      <c r="G98" s="11">
        <f t="shared" si="4"/>
        <v>35.083805313182182</v>
      </c>
      <c r="H98" s="12">
        <f t="shared" si="5"/>
        <v>0.76673686434712618</v>
      </c>
    </row>
    <row r="99" spans="1:8">
      <c r="A99" s="9">
        <v>2022</v>
      </c>
      <c r="B99" s="9" t="s">
        <v>143</v>
      </c>
      <c r="C99" s="10">
        <v>150802658.09999999</v>
      </c>
      <c r="D99" s="11">
        <v>4214597071.8800001</v>
      </c>
      <c r="E99" s="11">
        <v>3145695637.2600002</v>
      </c>
      <c r="F99" s="11">
        <f t="shared" si="3"/>
        <v>27.947763819157775</v>
      </c>
      <c r="G99" s="11">
        <f t="shared" si="4"/>
        <v>20.859682958466369</v>
      </c>
      <c r="H99" s="12">
        <f t="shared" si="5"/>
        <v>0.7463811091808128</v>
      </c>
    </row>
    <row r="100" spans="1:8">
      <c r="A100" s="9">
        <v>2022</v>
      </c>
      <c r="B100" s="9" t="s">
        <v>144</v>
      </c>
      <c r="C100" s="10">
        <v>75369724.5</v>
      </c>
      <c r="D100" s="11">
        <v>3500625393.6700001</v>
      </c>
      <c r="E100" s="11">
        <v>2591155510</v>
      </c>
      <c r="F100" s="11">
        <f t="shared" si="3"/>
        <v>46.446042053265039</v>
      </c>
      <c r="G100" s="11">
        <f t="shared" si="4"/>
        <v>34.379262060325033</v>
      </c>
      <c r="H100" s="12">
        <f t="shared" si="5"/>
        <v>0.74019788426532374</v>
      </c>
    </row>
    <row r="101" spans="1:8">
      <c r="A101" s="9">
        <v>2022</v>
      </c>
      <c r="B101" s="9" t="s">
        <v>145</v>
      </c>
      <c r="C101" s="10">
        <v>2012548</v>
      </c>
      <c r="D101" s="11">
        <v>381315654.42000002</v>
      </c>
      <c r="E101" s="11">
        <v>294522080.89999998</v>
      </c>
      <c r="F101" s="11">
        <f t="shared" si="3"/>
        <v>189.46909808859218</v>
      </c>
      <c r="G101" s="11">
        <f t="shared" si="4"/>
        <v>146.34288518832841</v>
      </c>
      <c r="H101" s="12">
        <f t="shared" si="5"/>
        <v>0.77238392257454691</v>
      </c>
    </row>
    <row r="102" spans="1:8">
      <c r="A102" s="9">
        <v>2022</v>
      </c>
      <c r="B102" s="9" t="s">
        <v>146</v>
      </c>
      <c r="C102" s="10">
        <v>32526982.899999999</v>
      </c>
      <c r="D102" s="11">
        <v>2608020315.4099998</v>
      </c>
      <c r="E102" s="11">
        <v>1939120690.9300001</v>
      </c>
      <c r="F102" s="11">
        <f t="shared" si="3"/>
        <v>80.180209871540228</v>
      </c>
      <c r="G102" s="11">
        <f t="shared" si="4"/>
        <v>59.615756459539327</v>
      </c>
      <c r="H102" s="12">
        <f t="shared" si="5"/>
        <v>0.74352208051153779</v>
      </c>
    </row>
    <row r="103" spans="1:8">
      <c r="A103" s="9">
        <v>2022</v>
      </c>
      <c r="B103" s="9" t="s">
        <v>147</v>
      </c>
      <c r="C103" s="10">
        <v>4811906</v>
      </c>
      <c r="D103" s="11">
        <v>246731225.28999999</v>
      </c>
      <c r="E103" s="11">
        <v>187515117.59</v>
      </c>
      <c r="F103" s="11">
        <f t="shared" si="3"/>
        <v>51.275154853399044</v>
      </c>
      <c r="G103" s="11">
        <f t="shared" si="4"/>
        <v>38.968990165227666</v>
      </c>
      <c r="H103" s="12">
        <f t="shared" si="5"/>
        <v>0.75999751296010765</v>
      </c>
    </row>
    <row r="104" spans="1:8">
      <c r="A104" s="9">
        <v>2022</v>
      </c>
      <c r="B104" s="9" t="s">
        <v>148</v>
      </c>
      <c r="C104" s="10">
        <v>306209</v>
      </c>
      <c r="D104" s="11">
        <v>16960037.100000001</v>
      </c>
      <c r="E104" s="11">
        <v>13207243.9</v>
      </c>
      <c r="F104" s="11">
        <f t="shared" si="3"/>
        <v>55.38712807265626</v>
      </c>
      <c r="G104" s="11">
        <f t="shared" si="4"/>
        <v>43.131468702748776</v>
      </c>
      <c r="H104" s="12">
        <f t="shared" si="5"/>
        <v>0.77872730007176694</v>
      </c>
    </row>
    <row r="105" spans="1:8">
      <c r="A105" s="9">
        <v>2022</v>
      </c>
      <c r="B105" s="9" t="s">
        <v>149</v>
      </c>
      <c r="C105" s="10">
        <v>10151542.300000001</v>
      </c>
      <c r="D105" s="11">
        <v>938927154.11000001</v>
      </c>
      <c r="E105" s="11">
        <v>693662351.38999999</v>
      </c>
      <c r="F105" s="11">
        <f t="shared" si="3"/>
        <v>92.491084247366032</v>
      </c>
      <c r="G105" s="11">
        <f t="shared" si="4"/>
        <v>68.330735457803286</v>
      </c>
      <c r="H105" s="12">
        <f t="shared" si="5"/>
        <v>0.73878186220688846</v>
      </c>
    </row>
    <row r="106" spans="1:8">
      <c r="A106" s="9">
        <v>2022</v>
      </c>
      <c r="B106" s="9" t="s">
        <v>150</v>
      </c>
      <c r="C106" s="10">
        <v>102049</v>
      </c>
      <c r="D106" s="11">
        <v>12739025.310000001</v>
      </c>
      <c r="E106" s="11">
        <v>9752630.7699999996</v>
      </c>
      <c r="F106" s="11">
        <f t="shared" si="3"/>
        <v>124.83243647659458</v>
      </c>
      <c r="G106" s="11">
        <f t="shared" si="4"/>
        <v>95.568116983017958</v>
      </c>
      <c r="H106" s="12">
        <f t="shared" si="5"/>
        <v>0.7655711903126754</v>
      </c>
    </row>
    <row r="107" spans="1:8">
      <c r="A107" s="9">
        <v>2022</v>
      </c>
      <c r="B107" s="9" t="s">
        <v>151</v>
      </c>
      <c r="C107" s="10">
        <v>161683.70000000001</v>
      </c>
      <c r="D107" s="11">
        <v>6374811.8200000003</v>
      </c>
      <c r="E107" s="11">
        <v>6252279.4299999997</v>
      </c>
      <c r="F107" s="11">
        <f t="shared" si="3"/>
        <v>39.427671558728555</v>
      </c>
      <c r="G107" s="11">
        <f t="shared" si="4"/>
        <v>38.66981909741056</v>
      </c>
      <c r="H107" s="12">
        <f t="shared" si="5"/>
        <v>0.98077866555753479</v>
      </c>
    </row>
    <row r="108" spans="1:8">
      <c r="A108" s="9">
        <v>2022</v>
      </c>
      <c r="B108" s="9" t="s">
        <v>152</v>
      </c>
      <c r="C108" s="10">
        <v>16832966.5</v>
      </c>
      <c r="D108" s="11">
        <v>1443167050.3</v>
      </c>
      <c r="E108" s="11">
        <v>1105141833.5899999</v>
      </c>
      <c r="F108" s="11">
        <f t="shared" si="3"/>
        <v>85.734564391843818</v>
      </c>
      <c r="G108" s="11">
        <f t="shared" si="4"/>
        <v>65.653420838804607</v>
      </c>
      <c r="H108" s="12">
        <f t="shared" si="5"/>
        <v>0.76577540580646386</v>
      </c>
    </row>
    <row r="109" spans="1:8">
      <c r="A109" s="9">
        <v>2022</v>
      </c>
      <c r="B109" s="9" t="s">
        <v>153</v>
      </c>
      <c r="C109" s="10">
        <v>14820544.699999999</v>
      </c>
      <c r="D109" s="11">
        <v>1864094743.74</v>
      </c>
      <c r="E109" s="11">
        <v>1462902757.46</v>
      </c>
      <c r="F109" s="11">
        <f t="shared" si="3"/>
        <v>125.7777484885559</v>
      </c>
      <c r="G109" s="11">
        <f t="shared" si="4"/>
        <v>98.707759199970567</v>
      </c>
      <c r="H109" s="12">
        <f t="shared" si="5"/>
        <v>0.78477918698752713</v>
      </c>
    </row>
    <row r="110" spans="1:8">
      <c r="A110" s="9">
        <v>2022</v>
      </c>
      <c r="B110" s="9" t="s">
        <v>154</v>
      </c>
      <c r="C110" s="10">
        <v>141716</v>
      </c>
      <c r="D110" s="11">
        <v>35087578.789999999</v>
      </c>
      <c r="E110" s="11">
        <v>27540008.640000001</v>
      </c>
      <c r="F110" s="11">
        <f t="shared" si="3"/>
        <v>247.59080689548111</v>
      </c>
      <c r="G110" s="11">
        <f t="shared" si="4"/>
        <v>194.33238759208558</v>
      </c>
      <c r="H110" s="12">
        <f t="shared" si="5"/>
        <v>0.78489338933380426</v>
      </c>
    </row>
    <row r="111" spans="1:8">
      <c r="A111" s="9">
        <v>2022</v>
      </c>
      <c r="B111" s="9" t="s">
        <v>155</v>
      </c>
      <c r="C111" s="10">
        <v>527129.30000000005</v>
      </c>
      <c r="D111" s="11">
        <v>16980756.739999998</v>
      </c>
      <c r="E111" s="11">
        <v>15680469.43</v>
      </c>
      <c r="F111" s="11">
        <f t="shared" si="3"/>
        <v>32.213646139571445</v>
      </c>
      <c r="G111" s="11">
        <f t="shared" si="4"/>
        <v>29.746913005974054</v>
      </c>
      <c r="H111" s="12">
        <f t="shared" si="5"/>
        <v>0.92342583255214816</v>
      </c>
    </row>
    <row r="112" spans="1:8">
      <c r="A112" s="9">
        <v>2022</v>
      </c>
      <c r="B112" s="9" t="s">
        <v>156</v>
      </c>
      <c r="C112" s="10">
        <v>42</v>
      </c>
      <c r="D112" s="11">
        <v>10133.73</v>
      </c>
      <c r="E112" s="11">
        <v>7821.16</v>
      </c>
      <c r="F112" s="11">
        <f t="shared" si="3"/>
        <v>241.27928571428569</v>
      </c>
      <c r="G112" s="11">
        <f t="shared" si="4"/>
        <v>186.21809523809523</v>
      </c>
      <c r="H112" s="12">
        <f t="shared" si="5"/>
        <v>0.77179478829611603</v>
      </c>
    </row>
    <row r="113" spans="1:8">
      <c r="A113" s="9">
        <v>2022</v>
      </c>
      <c r="B113" s="9" t="s">
        <v>157</v>
      </c>
      <c r="C113" s="10">
        <v>175074397.19999999</v>
      </c>
      <c r="D113" s="11">
        <v>3122497605.5</v>
      </c>
      <c r="E113" s="11">
        <v>2408667433.2600002</v>
      </c>
      <c r="F113" s="11">
        <f t="shared" si="3"/>
        <v>17.835261211454853</v>
      </c>
      <c r="G113" s="11">
        <f t="shared" si="4"/>
        <v>13.757965023911563</v>
      </c>
      <c r="H113" s="12">
        <f t="shared" si="5"/>
        <v>0.77139128274024871</v>
      </c>
    </row>
    <row r="114" spans="1:8">
      <c r="A114" s="9">
        <v>2022</v>
      </c>
      <c r="B114" s="9" t="s">
        <v>158</v>
      </c>
      <c r="C114" s="10">
        <v>668438.6</v>
      </c>
      <c r="D114" s="11">
        <v>29639652.34</v>
      </c>
      <c r="E114" s="11">
        <v>23390274.210000001</v>
      </c>
      <c r="F114" s="11">
        <f t="shared" si="3"/>
        <v>44.34162291046627</v>
      </c>
      <c r="G114" s="11">
        <f t="shared" si="4"/>
        <v>34.992405001745865</v>
      </c>
      <c r="H114" s="12">
        <f t="shared" si="5"/>
        <v>0.78915480997170162</v>
      </c>
    </row>
    <row r="115" spans="1:8">
      <c r="A115" s="9">
        <v>2022</v>
      </c>
      <c r="B115" s="9" t="s">
        <v>159</v>
      </c>
      <c r="C115" s="10">
        <v>114952</v>
      </c>
      <c r="D115" s="11">
        <v>171226.67</v>
      </c>
      <c r="E115" s="11">
        <v>132794.85999999999</v>
      </c>
      <c r="F115" s="11">
        <f t="shared" si="3"/>
        <v>1.4895492901384928</v>
      </c>
      <c r="G115" s="11">
        <f t="shared" si="4"/>
        <v>1.1552200918644302</v>
      </c>
      <c r="H115" s="12">
        <f t="shared" si="5"/>
        <v>0.77555009391936414</v>
      </c>
    </row>
    <row r="116" spans="1:8">
      <c r="A116" s="9">
        <v>2022</v>
      </c>
      <c r="B116" s="9" t="s">
        <v>160</v>
      </c>
      <c r="C116" s="10">
        <v>589236</v>
      </c>
      <c r="D116" s="11">
        <v>65855540.880000003</v>
      </c>
      <c r="E116" s="11">
        <v>48654771.259999998</v>
      </c>
      <c r="F116" s="11">
        <f t="shared" si="3"/>
        <v>111.76428609249945</v>
      </c>
      <c r="G116" s="11">
        <f t="shared" si="4"/>
        <v>82.572638569265962</v>
      </c>
      <c r="H116" s="12">
        <f t="shared" si="5"/>
        <v>0.73881059376092995</v>
      </c>
    </row>
    <row r="117" spans="1:8">
      <c r="A117" s="9">
        <v>2022</v>
      </c>
      <c r="B117" s="9" t="s">
        <v>161</v>
      </c>
      <c r="C117" s="10">
        <v>52029</v>
      </c>
      <c r="D117" s="11">
        <v>2195114.67</v>
      </c>
      <c r="E117" s="11">
        <v>1666047.8</v>
      </c>
      <c r="F117" s="11">
        <f t="shared" si="3"/>
        <v>42.190214495761978</v>
      </c>
      <c r="G117" s="11">
        <f t="shared" si="4"/>
        <v>32.021522612389248</v>
      </c>
      <c r="H117" s="12">
        <f t="shared" si="5"/>
        <v>0.75897984864726908</v>
      </c>
    </row>
    <row r="118" spans="1:8">
      <c r="A118" s="9">
        <v>2022</v>
      </c>
      <c r="B118" s="9" t="s">
        <v>162</v>
      </c>
      <c r="C118" s="10"/>
      <c r="D118" s="11"/>
      <c r="E118" s="11"/>
      <c r="F118" s="11">
        <f t="shared" si="3"/>
        <v>0</v>
      </c>
      <c r="G118" s="11">
        <f t="shared" si="4"/>
        <v>0</v>
      </c>
      <c r="H118" s="12">
        <f t="shared" si="5"/>
        <v>0</v>
      </c>
    </row>
    <row r="119" spans="1:8">
      <c r="A119" s="9">
        <v>2022</v>
      </c>
      <c r="B119" s="9" t="s">
        <v>163</v>
      </c>
      <c r="C119" s="10">
        <v>1457079.5</v>
      </c>
      <c r="D119" s="11">
        <v>89116706.799999997</v>
      </c>
      <c r="E119" s="11">
        <v>69184945.530000001</v>
      </c>
      <c r="F119" s="11">
        <f t="shared" si="3"/>
        <v>61.161183586756934</v>
      </c>
      <c r="G119" s="11">
        <f t="shared" si="4"/>
        <v>47.481929112309935</v>
      </c>
      <c r="H119" s="12">
        <f t="shared" si="5"/>
        <v>0.77634091310474684</v>
      </c>
    </row>
    <row r="120" spans="1:8">
      <c r="A120" s="9">
        <v>2022</v>
      </c>
      <c r="B120" s="9" t="s">
        <v>164</v>
      </c>
      <c r="C120" s="10">
        <v>4786818</v>
      </c>
      <c r="D120" s="11">
        <v>204266306.47999999</v>
      </c>
      <c r="E120" s="11">
        <v>151884605.55000001</v>
      </c>
      <c r="F120" s="11">
        <f t="shared" si="3"/>
        <v>42.672670337581245</v>
      </c>
      <c r="G120" s="11">
        <f t="shared" si="4"/>
        <v>31.729764020691828</v>
      </c>
      <c r="H120" s="12">
        <f t="shared" si="5"/>
        <v>0.74356171689466199</v>
      </c>
    </row>
    <row r="121" spans="1:8">
      <c r="A121" s="9">
        <v>2022</v>
      </c>
      <c r="B121" s="9" t="s">
        <v>165</v>
      </c>
      <c r="C121" s="10">
        <v>601167</v>
      </c>
      <c r="D121" s="11">
        <v>92139064.939999998</v>
      </c>
      <c r="E121" s="11">
        <v>71244109.150000006</v>
      </c>
      <c r="F121" s="11">
        <f t="shared" si="3"/>
        <v>153.26700391072697</v>
      </c>
      <c r="G121" s="11">
        <f t="shared" si="4"/>
        <v>118.50968058792317</v>
      </c>
      <c r="H121" s="12">
        <f t="shared" si="5"/>
        <v>0.77322370480309766</v>
      </c>
    </row>
    <row r="122" spans="1:8">
      <c r="A122" s="9">
        <v>2022</v>
      </c>
      <c r="B122" s="9" t="s">
        <v>166</v>
      </c>
      <c r="C122" s="10">
        <v>891276.5</v>
      </c>
      <c r="D122" s="11">
        <v>314091849.92000002</v>
      </c>
      <c r="E122" s="11">
        <v>246324663.34999999</v>
      </c>
      <c r="F122" s="11">
        <f t="shared" si="3"/>
        <v>352.40674461853308</v>
      </c>
      <c r="G122" s="11">
        <f t="shared" si="4"/>
        <v>276.3728914091194</v>
      </c>
      <c r="H122" s="12">
        <f t="shared" si="5"/>
        <v>0.78424404648748292</v>
      </c>
    </row>
    <row r="123" spans="1:8">
      <c r="A123" s="9">
        <v>2022</v>
      </c>
      <c r="B123" s="9" t="s">
        <v>167</v>
      </c>
      <c r="C123" s="10">
        <v>243103</v>
      </c>
      <c r="D123" s="11">
        <v>27131833.460000001</v>
      </c>
      <c r="E123" s="11">
        <v>21256815.350000001</v>
      </c>
      <c r="F123" s="11">
        <f t="shared" si="3"/>
        <v>111.60632925138728</v>
      </c>
      <c r="G123" s="11">
        <f t="shared" si="4"/>
        <v>87.439543526817857</v>
      </c>
      <c r="H123" s="12">
        <f t="shared" si="5"/>
        <v>0.78346402138058824</v>
      </c>
    </row>
    <row r="124" spans="1:8">
      <c r="A124" s="9">
        <v>2022</v>
      </c>
      <c r="B124" s="9" t="s">
        <v>168</v>
      </c>
      <c r="C124" s="10">
        <v>725607.5</v>
      </c>
      <c r="D124" s="11">
        <v>51580618.899999999</v>
      </c>
      <c r="E124" s="11">
        <v>39747859.619999997</v>
      </c>
      <c r="F124" s="11">
        <f t="shared" si="3"/>
        <v>71.086115978679928</v>
      </c>
      <c r="G124" s="11">
        <f t="shared" si="4"/>
        <v>54.778733158077884</v>
      </c>
      <c r="H124" s="12">
        <f t="shared" si="5"/>
        <v>0.77059679522379676</v>
      </c>
    </row>
    <row r="125" spans="1:8">
      <c r="A125" s="9">
        <v>2022</v>
      </c>
      <c r="B125" s="9" t="s">
        <v>169</v>
      </c>
      <c r="C125" s="10">
        <v>8290</v>
      </c>
      <c r="D125" s="11">
        <v>605361.21</v>
      </c>
      <c r="E125" s="11">
        <v>457023.18</v>
      </c>
      <c r="F125" s="11">
        <f t="shared" si="3"/>
        <v>73.02306513872135</v>
      </c>
      <c r="G125" s="11">
        <f t="shared" si="4"/>
        <v>55.129454764776838</v>
      </c>
      <c r="H125" s="12">
        <f t="shared" si="5"/>
        <v>0.75495947287405485</v>
      </c>
    </row>
    <row r="126" spans="1:8">
      <c r="A126" s="9">
        <v>2022</v>
      </c>
      <c r="B126" s="9" t="s">
        <v>170</v>
      </c>
      <c r="C126" s="10">
        <v>65690317.399999999</v>
      </c>
      <c r="D126" s="11">
        <v>2178221673.73</v>
      </c>
      <c r="E126" s="11">
        <v>1646520935.9400001</v>
      </c>
      <c r="F126" s="11">
        <f t="shared" si="3"/>
        <v>33.158945792062802</v>
      </c>
      <c r="G126" s="11">
        <f t="shared" si="4"/>
        <v>25.06489542308103</v>
      </c>
      <c r="H126" s="12">
        <f t="shared" si="5"/>
        <v>0.75590145658613694</v>
      </c>
    </row>
    <row r="127" spans="1:8">
      <c r="A127" s="9">
        <v>2022</v>
      </c>
      <c r="B127" s="9" t="s">
        <v>171</v>
      </c>
      <c r="C127" s="10">
        <v>6176716.9000000004</v>
      </c>
      <c r="D127" s="11">
        <v>1097410255.0799999</v>
      </c>
      <c r="E127" s="11">
        <v>850327327.37</v>
      </c>
      <c r="F127" s="11">
        <f t="shared" si="3"/>
        <v>177.66886079561132</v>
      </c>
      <c r="G127" s="11">
        <f t="shared" si="4"/>
        <v>137.66655346791109</v>
      </c>
      <c r="H127" s="12">
        <f t="shared" si="5"/>
        <v>0.77484908076425085</v>
      </c>
    </row>
  </sheetData>
  <conditionalFormatting sqref="E2:E127">
    <cfRule type="dataBar" priority="3">
      <dataBar>
        <cfvo type="min"/>
        <cfvo type="max"/>
        <color rgb="FF2A7F89"/>
      </dataBar>
    </cfRule>
    <cfRule type="dataBar" priority="4">
      <dataBar>
        <cfvo type="min"/>
        <cfvo type="max"/>
        <color rgb="FF2A7F89"/>
      </dataBar>
      <extLst>
        <ext xmlns:x14="http://schemas.microsoft.com/office/spreadsheetml/2009/9/main" uri="{B025F937-C7B1-47D3-B67F-A62EFF666E3E}">
          <x14:id>{5F4B3F84-DA6D-483C-8A5B-7780239C5ECF}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F4B3F84-DA6D-483C-8A5B-7780239C5ECF}">
            <x14:dataBar>
              <x14:cfvo type="min"/>
              <x14:cfvo type="max"/>
              <x14:negativeFillColor auto="1"/>
              <x14:axisColor auto="1"/>
            </x14:dataBar>
          </x14:cfRule>
          <xm:sqref>E2:E127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77B45-9043-4658-88A3-9DE8162AD9EA}">
  <dimension ref="A1:H130"/>
  <sheetViews>
    <sheetView workbookViewId="0">
      <selection activeCell="B9" sqref="B9"/>
    </sheetView>
  </sheetViews>
  <sheetFormatPr defaultRowHeight="13.8"/>
  <cols>
    <col min="1" max="1" width="9" customWidth="1"/>
    <col min="2" max="2" width="40" customWidth="1"/>
    <col min="3" max="7" width="18" customWidth="1"/>
    <col min="8" max="8" width="14" customWidth="1"/>
  </cols>
  <sheetData>
    <row r="1" spans="1:8" ht="24" customHeight="1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</row>
    <row r="2" spans="1:8">
      <c r="A2" s="9">
        <v>2023</v>
      </c>
      <c r="B2" s="9" t="s">
        <v>46</v>
      </c>
      <c r="C2" s="10">
        <v>109468.5</v>
      </c>
      <c r="D2" s="11">
        <v>9275095.5700000003</v>
      </c>
      <c r="E2" s="11">
        <v>7029531.5499999998</v>
      </c>
      <c r="F2" s="11">
        <f t="shared" ref="F2:F3" si="0">IFERROR(D2/C2,0)</f>
        <v>84.728443068097221</v>
      </c>
      <c r="G2" s="11">
        <f t="shared" ref="G2:G3" si="1">IFERROR(E2/C2,0)</f>
        <v>64.21510799910476</v>
      </c>
      <c r="H2" s="12">
        <f t="shared" ref="H2:H3" si="2">IFERROR(E2/D2,0)</f>
        <v>0.75789316637736803</v>
      </c>
    </row>
    <row r="3" spans="1:8">
      <c r="A3" s="9">
        <v>2023</v>
      </c>
      <c r="B3" s="9" t="s">
        <v>47</v>
      </c>
      <c r="C3" s="10">
        <v>29018</v>
      </c>
      <c r="D3" s="11">
        <v>2481900.6</v>
      </c>
      <c r="E3" s="11">
        <v>1871922.66</v>
      </c>
      <c r="F3" s="11">
        <f t="shared" si="0"/>
        <v>85.529691915362875</v>
      </c>
      <c r="G3" s="11">
        <f t="shared" si="1"/>
        <v>64.509017161761662</v>
      </c>
      <c r="H3" s="12">
        <f t="shared" si="2"/>
        <v>0.75422950459820992</v>
      </c>
    </row>
    <row r="4" spans="1:8">
      <c r="A4" s="9">
        <v>2023</v>
      </c>
      <c r="B4" s="9" t="s">
        <v>48</v>
      </c>
      <c r="C4" s="10">
        <v>1034868</v>
      </c>
      <c r="D4" s="11">
        <v>86168117.670000002</v>
      </c>
      <c r="E4" s="11">
        <v>64967343.670000002</v>
      </c>
      <c r="F4" s="11">
        <f t="shared" ref="F4:F67" si="3">IFERROR(D4/C4,0)</f>
        <v>83.264839254861485</v>
      </c>
      <c r="G4" s="11">
        <f t="shared" ref="G4:G67" si="4">IFERROR(E4/C4,0)</f>
        <v>62.778386876393903</v>
      </c>
      <c r="H4" s="12">
        <f t="shared" ref="H4:H67" si="5">IFERROR(E4/D4,0)</f>
        <v>0.75396034434460912</v>
      </c>
    </row>
    <row r="5" spans="1:8">
      <c r="A5" s="9">
        <v>2023</v>
      </c>
      <c r="B5" s="9" t="s">
        <v>49</v>
      </c>
      <c r="C5" s="10">
        <v>8555831</v>
      </c>
      <c r="D5" s="11">
        <v>125859775.62</v>
      </c>
      <c r="E5" s="11">
        <v>101654175.95999999</v>
      </c>
      <c r="F5" s="11">
        <f t="shared" si="3"/>
        <v>14.710409265914674</v>
      </c>
      <c r="G5" s="11">
        <f t="shared" si="4"/>
        <v>11.881274415074349</v>
      </c>
      <c r="H5" s="12">
        <f t="shared" si="5"/>
        <v>0.80767803262988203</v>
      </c>
    </row>
    <row r="6" spans="1:8">
      <c r="A6" s="9">
        <v>2023</v>
      </c>
      <c r="B6" s="9" t="s">
        <v>50</v>
      </c>
      <c r="C6" s="10">
        <v>22854255.300000001</v>
      </c>
      <c r="D6" s="11">
        <v>557946838.16999996</v>
      </c>
      <c r="E6" s="11">
        <v>422676609.51999998</v>
      </c>
      <c r="F6" s="11">
        <f t="shared" si="3"/>
        <v>24.413258312118355</v>
      </c>
      <c r="G6" s="11">
        <f t="shared" si="4"/>
        <v>18.494438080421723</v>
      </c>
      <c r="H6" s="12">
        <f t="shared" si="5"/>
        <v>0.75755713735439312</v>
      </c>
    </row>
    <row r="7" spans="1:8">
      <c r="A7" s="9">
        <v>2023</v>
      </c>
      <c r="B7" s="9" t="s">
        <v>51</v>
      </c>
      <c r="C7" s="10">
        <v>116525354</v>
      </c>
      <c r="D7" s="11">
        <v>5656030047.5299997</v>
      </c>
      <c r="E7" s="11">
        <v>4397119817.0299997</v>
      </c>
      <c r="F7" s="11">
        <f t="shared" si="3"/>
        <v>48.539050544570756</v>
      </c>
      <c r="G7" s="11">
        <f t="shared" si="4"/>
        <v>37.735305374227828</v>
      </c>
      <c r="H7" s="12">
        <f t="shared" si="5"/>
        <v>0.77742158016827212</v>
      </c>
    </row>
    <row r="8" spans="1:8">
      <c r="A8" s="9">
        <v>2023</v>
      </c>
      <c r="B8" s="9" t="s">
        <v>52</v>
      </c>
      <c r="C8" s="10">
        <v>20929876.300000001</v>
      </c>
      <c r="D8" s="11">
        <v>6823664397.9300003</v>
      </c>
      <c r="E8" s="11">
        <v>5326020079.6599998</v>
      </c>
      <c r="F8" s="11">
        <f t="shared" si="3"/>
        <v>326.02507057960969</v>
      </c>
      <c r="G8" s="11">
        <f t="shared" si="4"/>
        <v>254.4697351918893</v>
      </c>
      <c r="H8" s="12">
        <f t="shared" si="5"/>
        <v>0.78052198482617052</v>
      </c>
    </row>
    <row r="9" spans="1:8">
      <c r="A9" s="9">
        <v>2023</v>
      </c>
      <c r="B9" s="9" t="s">
        <v>53</v>
      </c>
      <c r="C9" s="10">
        <v>357467</v>
      </c>
      <c r="D9" s="11">
        <v>43389291.439999998</v>
      </c>
      <c r="E9" s="11">
        <v>33703277.880000003</v>
      </c>
      <c r="F9" s="11">
        <f t="shared" si="3"/>
        <v>121.37985167861648</v>
      </c>
      <c r="G9" s="11">
        <f t="shared" si="4"/>
        <v>94.283606262955743</v>
      </c>
      <c r="H9" s="12">
        <f t="shared" si="5"/>
        <v>0.77676488279615941</v>
      </c>
    </row>
    <row r="10" spans="1:8">
      <c r="A10" s="9">
        <v>2023</v>
      </c>
      <c r="B10" s="9" t="s">
        <v>54</v>
      </c>
      <c r="C10" s="10">
        <v>17694262.899999999</v>
      </c>
      <c r="D10" s="11">
        <v>1791770012.2</v>
      </c>
      <c r="E10" s="11">
        <v>1390577864.52</v>
      </c>
      <c r="F10" s="11">
        <f t="shared" si="3"/>
        <v>101.26276648687073</v>
      </c>
      <c r="G10" s="11">
        <f t="shared" si="4"/>
        <v>78.589194270420847</v>
      </c>
      <c r="H10" s="12">
        <f t="shared" si="5"/>
        <v>0.77609171659960874</v>
      </c>
    </row>
    <row r="11" spans="1:8">
      <c r="A11" s="9">
        <v>2023</v>
      </c>
      <c r="B11" s="9" t="s">
        <v>55</v>
      </c>
      <c r="C11" s="10">
        <v>2325645.5</v>
      </c>
      <c r="D11" s="11">
        <v>77760809.189999998</v>
      </c>
      <c r="E11" s="11">
        <v>55087655.810000002</v>
      </c>
      <c r="F11" s="11">
        <f t="shared" si="3"/>
        <v>33.436226282122533</v>
      </c>
      <c r="G11" s="11">
        <f t="shared" si="4"/>
        <v>23.687039065068173</v>
      </c>
      <c r="H11" s="12">
        <f t="shared" si="5"/>
        <v>0.70842441563846592</v>
      </c>
    </row>
    <row r="12" spans="1:8">
      <c r="A12" s="9">
        <v>2023</v>
      </c>
      <c r="B12" s="9" t="s">
        <v>56</v>
      </c>
      <c r="C12" s="10">
        <v>9383768.0999999996</v>
      </c>
      <c r="D12" s="11">
        <v>743064508.17999995</v>
      </c>
      <c r="E12" s="11">
        <v>558796379.82000005</v>
      </c>
      <c r="F12" s="11">
        <f t="shared" si="3"/>
        <v>79.186154246501459</v>
      </c>
      <c r="G12" s="11">
        <f t="shared" si="4"/>
        <v>59.549252908327951</v>
      </c>
      <c r="H12" s="12">
        <f t="shared" si="5"/>
        <v>0.7520159739410367</v>
      </c>
    </row>
    <row r="13" spans="1:8">
      <c r="A13" s="9">
        <v>2023</v>
      </c>
      <c r="B13" s="9" t="s">
        <v>57</v>
      </c>
      <c r="C13" s="10">
        <v>513192</v>
      </c>
      <c r="D13" s="11">
        <v>174987759.06999999</v>
      </c>
      <c r="E13" s="11">
        <v>136488524.97999999</v>
      </c>
      <c r="F13" s="11">
        <f t="shared" si="3"/>
        <v>340.97912490841634</v>
      </c>
      <c r="G13" s="11">
        <f t="shared" si="4"/>
        <v>265.9599623142995</v>
      </c>
      <c r="H13" s="12">
        <f t="shared" si="5"/>
        <v>0.77998898726053612</v>
      </c>
    </row>
    <row r="14" spans="1:8">
      <c r="A14" s="9">
        <v>2023</v>
      </c>
      <c r="B14" s="9" t="s">
        <v>58</v>
      </c>
      <c r="C14" s="10">
        <v>60954319.5</v>
      </c>
      <c r="D14" s="11">
        <v>4967417359.4200001</v>
      </c>
      <c r="E14" s="11">
        <v>3703782883.1500001</v>
      </c>
      <c r="F14" s="11">
        <f t="shared" si="3"/>
        <v>81.494099190460162</v>
      </c>
      <c r="G14" s="11">
        <f t="shared" si="4"/>
        <v>60.763255394066043</v>
      </c>
      <c r="H14" s="12">
        <f t="shared" si="5"/>
        <v>0.7456154003501041</v>
      </c>
    </row>
    <row r="15" spans="1:8">
      <c r="A15" s="9">
        <v>2023</v>
      </c>
      <c r="B15" s="9" t="s">
        <v>59</v>
      </c>
      <c r="C15" s="10">
        <v>22528388</v>
      </c>
      <c r="D15" s="11">
        <v>950528028.71000004</v>
      </c>
      <c r="E15" s="11">
        <v>931516503.26999998</v>
      </c>
      <c r="F15" s="11">
        <f t="shared" si="3"/>
        <v>42.19245641143965</v>
      </c>
      <c r="G15" s="11">
        <f t="shared" si="4"/>
        <v>41.348564454323139</v>
      </c>
      <c r="H15" s="12">
        <f t="shared" si="5"/>
        <v>0.97999898491599313</v>
      </c>
    </row>
    <row r="16" spans="1:8">
      <c r="A16" s="9">
        <v>2023</v>
      </c>
      <c r="B16" s="9" t="s">
        <v>60</v>
      </c>
      <c r="C16" s="10">
        <v>894513</v>
      </c>
      <c r="D16" s="11">
        <v>60487296.689999998</v>
      </c>
      <c r="E16" s="11">
        <v>44457882.950000003</v>
      </c>
      <c r="F16" s="11">
        <f t="shared" si="3"/>
        <v>67.620366266337101</v>
      </c>
      <c r="G16" s="11">
        <f t="shared" si="4"/>
        <v>49.700656055306077</v>
      </c>
      <c r="H16" s="12">
        <f t="shared" si="5"/>
        <v>0.73499536899208062</v>
      </c>
    </row>
    <row r="17" spans="1:8">
      <c r="A17" s="9">
        <v>2023</v>
      </c>
      <c r="B17" s="9" t="s">
        <v>61</v>
      </c>
      <c r="C17" s="10">
        <v>100113</v>
      </c>
      <c r="D17" s="11">
        <v>5865107.7199999997</v>
      </c>
      <c r="E17" s="11">
        <v>4377954.07</v>
      </c>
      <c r="F17" s="11">
        <f t="shared" si="3"/>
        <v>58.584876289792533</v>
      </c>
      <c r="G17" s="11">
        <f t="shared" si="4"/>
        <v>43.730125658006457</v>
      </c>
      <c r="H17" s="12">
        <f t="shared" si="5"/>
        <v>0.74644052232343316</v>
      </c>
    </row>
    <row r="18" spans="1:8">
      <c r="A18" s="9">
        <v>2023</v>
      </c>
      <c r="B18" s="9" t="s">
        <v>62</v>
      </c>
      <c r="C18" s="10">
        <v>7563524.2000000002</v>
      </c>
      <c r="D18" s="11">
        <v>1054520726.77</v>
      </c>
      <c r="E18" s="11">
        <v>824579515.59000003</v>
      </c>
      <c r="F18" s="11">
        <f t="shared" si="3"/>
        <v>139.42187515840828</v>
      </c>
      <c r="G18" s="11">
        <f t="shared" si="4"/>
        <v>109.02054304129813</v>
      </c>
      <c r="H18" s="12">
        <f t="shared" si="5"/>
        <v>0.7819471866766331</v>
      </c>
    </row>
    <row r="19" spans="1:8">
      <c r="A19" s="9">
        <v>2023</v>
      </c>
      <c r="B19" s="9" t="s">
        <v>63</v>
      </c>
      <c r="C19" s="10">
        <v>18011599.600000001</v>
      </c>
      <c r="D19" s="11">
        <v>674727365.44000006</v>
      </c>
      <c r="E19" s="11">
        <v>471289145.88999999</v>
      </c>
      <c r="F19" s="11">
        <f t="shared" si="3"/>
        <v>37.460713119561021</v>
      </c>
      <c r="G19" s="11">
        <f t="shared" si="4"/>
        <v>26.165868460122773</v>
      </c>
      <c r="H19" s="12">
        <f t="shared" si="5"/>
        <v>0.69848826360061012</v>
      </c>
    </row>
    <row r="20" spans="1:8">
      <c r="A20" s="9">
        <v>2023</v>
      </c>
      <c r="B20" s="9" t="s">
        <v>64</v>
      </c>
      <c r="C20" s="10">
        <v>381073610.19999999</v>
      </c>
      <c r="D20" s="11">
        <v>7668176174.1599998</v>
      </c>
      <c r="E20" s="11">
        <v>7365751822.5699997</v>
      </c>
      <c r="F20" s="11">
        <f t="shared" si="3"/>
        <v>20.122558920140097</v>
      </c>
      <c r="G20" s="11">
        <f t="shared" si="4"/>
        <v>19.328947545604667</v>
      </c>
      <c r="H20" s="12">
        <f t="shared" si="5"/>
        <v>0.96056111065769445</v>
      </c>
    </row>
    <row r="21" spans="1:8">
      <c r="A21" s="9">
        <v>2023</v>
      </c>
      <c r="B21" s="9" t="s">
        <v>65</v>
      </c>
      <c r="C21" s="10">
        <v>6892696.7000000002</v>
      </c>
      <c r="D21" s="11">
        <v>713912799.67999995</v>
      </c>
      <c r="E21" s="11">
        <v>542609471.88</v>
      </c>
      <c r="F21" s="11">
        <f t="shared" si="3"/>
        <v>103.57525229276372</v>
      </c>
      <c r="G21" s="11">
        <f t="shared" si="4"/>
        <v>78.722377539113239</v>
      </c>
      <c r="H21" s="12">
        <f t="shared" si="5"/>
        <v>0.76005006791195795</v>
      </c>
    </row>
    <row r="22" spans="1:8">
      <c r="A22" s="9">
        <v>2023</v>
      </c>
      <c r="B22" s="9" t="s">
        <v>66</v>
      </c>
      <c r="C22" s="10">
        <v>800479.6</v>
      </c>
      <c r="D22" s="11">
        <v>163854339.75</v>
      </c>
      <c r="E22" s="11">
        <v>126028517.06</v>
      </c>
      <c r="F22" s="11">
        <f t="shared" si="3"/>
        <v>204.69520990915947</v>
      </c>
      <c r="G22" s="11">
        <f t="shared" si="4"/>
        <v>157.44126028945647</v>
      </c>
      <c r="H22" s="12">
        <f t="shared" si="5"/>
        <v>0.76914970486767353</v>
      </c>
    </row>
    <row r="23" spans="1:8">
      <c r="A23" s="9">
        <v>2023</v>
      </c>
      <c r="B23" s="9" t="s">
        <v>67</v>
      </c>
      <c r="C23" s="10">
        <v>2813902.5</v>
      </c>
      <c r="D23" s="11">
        <v>352182565.20999998</v>
      </c>
      <c r="E23" s="11">
        <v>271899713.50999999</v>
      </c>
      <c r="F23" s="11">
        <f t="shared" si="3"/>
        <v>125.15805547988958</v>
      </c>
      <c r="G23" s="11">
        <f t="shared" si="4"/>
        <v>96.627268894355794</v>
      </c>
      <c r="H23" s="12">
        <f t="shared" si="5"/>
        <v>0.77204194747082722</v>
      </c>
    </row>
    <row r="24" spans="1:8">
      <c r="A24" s="9">
        <v>2023</v>
      </c>
      <c r="B24" s="9" t="s">
        <v>172</v>
      </c>
      <c r="C24" s="10">
        <v>132</v>
      </c>
      <c r="D24" s="11">
        <v>11739.22</v>
      </c>
      <c r="E24" s="11">
        <v>9445.59</v>
      </c>
      <c r="F24" s="11">
        <f t="shared" si="3"/>
        <v>88.933484848484838</v>
      </c>
      <c r="G24" s="11">
        <f t="shared" si="4"/>
        <v>71.557500000000005</v>
      </c>
      <c r="H24" s="12">
        <f t="shared" si="5"/>
        <v>0.80461819439451687</v>
      </c>
    </row>
    <row r="25" spans="1:8">
      <c r="A25" s="9">
        <v>2023</v>
      </c>
      <c r="B25" s="9" t="s">
        <v>68</v>
      </c>
      <c r="C25" s="10">
        <v>72769</v>
      </c>
      <c r="D25" s="11">
        <v>11999409.92</v>
      </c>
      <c r="E25" s="11">
        <v>9227515.4700000007</v>
      </c>
      <c r="F25" s="11">
        <f t="shared" si="3"/>
        <v>164.89727658755788</v>
      </c>
      <c r="G25" s="11">
        <f t="shared" si="4"/>
        <v>126.80558300924845</v>
      </c>
      <c r="H25" s="12">
        <f t="shared" si="5"/>
        <v>0.76899743666728582</v>
      </c>
    </row>
    <row r="26" spans="1:8">
      <c r="A26" s="9">
        <v>2023</v>
      </c>
      <c r="B26" s="9" t="s">
        <v>69</v>
      </c>
      <c r="C26" s="10">
        <v>8184</v>
      </c>
      <c r="D26" s="11">
        <v>754892.29</v>
      </c>
      <c r="E26" s="11">
        <v>571803.35</v>
      </c>
      <c r="F26" s="11">
        <f t="shared" si="3"/>
        <v>92.240015884652991</v>
      </c>
      <c r="G26" s="11">
        <f t="shared" si="4"/>
        <v>69.868444525904195</v>
      </c>
      <c r="H26" s="12">
        <f t="shared" si="5"/>
        <v>0.75746349191087903</v>
      </c>
    </row>
    <row r="27" spans="1:8">
      <c r="A27" s="9">
        <v>2023</v>
      </c>
      <c r="B27" s="9" t="s">
        <v>70</v>
      </c>
      <c r="C27" s="10">
        <v>51483786.100000001</v>
      </c>
      <c r="D27" s="11">
        <v>4079769496.3299999</v>
      </c>
      <c r="E27" s="11">
        <v>3009393909.7600002</v>
      </c>
      <c r="F27" s="11">
        <f t="shared" si="3"/>
        <v>79.243773727239528</v>
      </c>
      <c r="G27" s="11">
        <f t="shared" si="4"/>
        <v>58.453236207505725</v>
      </c>
      <c r="H27" s="12">
        <f t="shared" si="5"/>
        <v>0.73763822011687974</v>
      </c>
    </row>
    <row r="28" spans="1:8">
      <c r="A28" s="9">
        <v>2023</v>
      </c>
      <c r="B28" s="9" t="s">
        <v>71</v>
      </c>
      <c r="C28" s="10">
        <v>211062222.80000001</v>
      </c>
      <c r="D28" s="11">
        <v>5220762285.0100002</v>
      </c>
      <c r="E28" s="11">
        <v>4064303327.9499998</v>
      </c>
      <c r="F28" s="11">
        <f t="shared" si="3"/>
        <v>24.735654802409293</v>
      </c>
      <c r="G28" s="11">
        <f t="shared" si="4"/>
        <v>19.256422461736719</v>
      </c>
      <c r="H28" s="12">
        <f t="shared" si="5"/>
        <v>0.778488486177496</v>
      </c>
    </row>
    <row r="29" spans="1:8">
      <c r="A29" s="9">
        <v>2023</v>
      </c>
      <c r="B29" s="9" t="s">
        <v>72</v>
      </c>
      <c r="C29" s="10">
        <v>24530389.100000001</v>
      </c>
      <c r="D29" s="11">
        <v>2614891662.1199999</v>
      </c>
      <c r="E29" s="11">
        <v>2024113541.02</v>
      </c>
      <c r="F29" s="11">
        <f t="shared" si="3"/>
        <v>106.59805074677759</v>
      </c>
      <c r="G29" s="11">
        <f t="shared" si="4"/>
        <v>82.514530559158558</v>
      </c>
      <c r="H29" s="12">
        <f t="shared" si="5"/>
        <v>0.77407166436064434</v>
      </c>
    </row>
    <row r="30" spans="1:8">
      <c r="A30" s="9">
        <v>2023</v>
      </c>
      <c r="B30" s="9" t="s">
        <v>73</v>
      </c>
      <c r="C30" s="10">
        <v>18391247.5</v>
      </c>
      <c r="D30" s="11">
        <v>712929747.70000005</v>
      </c>
      <c r="E30" s="11">
        <v>527244862.08999997</v>
      </c>
      <c r="F30" s="11">
        <f t="shared" si="3"/>
        <v>38.764621470077003</v>
      </c>
      <c r="G30" s="11">
        <f t="shared" si="4"/>
        <v>28.668248964079243</v>
      </c>
      <c r="H30" s="12">
        <f t="shared" si="5"/>
        <v>0.73954672783813191</v>
      </c>
    </row>
    <row r="31" spans="1:8">
      <c r="A31" s="9">
        <v>2023</v>
      </c>
      <c r="B31" s="9" t="s">
        <v>74</v>
      </c>
      <c r="C31" s="10">
        <v>122337908</v>
      </c>
      <c r="D31" s="11">
        <v>6632441960.3999996</v>
      </c>
      <c r="E31" s="11">
        <v>4747465790.8500004</v>
      </c>
      <c r="F31" s="11">
        <f t="shared" si="3"/>
        <v>54.214119473090875</v>
      </c>
      <c r="G31" s="11">
        <f t="shared" si="4"/>
        <v>38.806171108059168</v>
      </c>
      <c r="H31" s="12">
        <f t="shared" si="5"/>
        <v>0.71579454734703518</v>
      </c>
    </row>
    <row r="32" spans="1:8">
      <c r="A32" s="9">
        <v>2023</v>
      </c>
      <c r="B32" s="9" t="s">
        <v>75</v>
      </c>
      <c r="C32" s="10">
        <v>27517758.199999999</v>
      </c>
      <c r="D32" s="11">
        <v>1754151833.74</v>
      </c>
      <c r="E32" s="11">
        <v>1348344745.1400001</v>
      </c>
      <c r="F32" s="11">
        <f t="shared" si="3"/>
        <v>63.746175142275945</v>
      </c>
      <c r="G32" s="11">
        <f t="shared" si="4"/>
        <v>48.999076717666632</v>
      </c>
      <c r="H32" s="12">
        <f t="shared" si="5"/>
        <v>0.76865908594994037</v>
      </c>
    </row>
    <row r="33" spans="1:8">
      <c r="A33" s="9">
        <v>2023</v>
      </c>
      <c r="B33" s="9" t="s">
        <v>76</v>
      </c>
      <c r="C33" s="10">
        <v>9822850.4000000004</v>
      </c>
      <c r="D33" s="11">
        <v>512771309.75999999</v>
      </c>
      <c r="E33" s="11">
        <v>388085649.5</v>
      </c>
      <c r="F33" s="11">
        <f t="shared" si="3"/>
        <v>52.201885285761854</v>
      </c>
      <c r="G33" s="11">
        <f t="shared" si="4"/>
        <v>39.508455661708943</v>
      </c>
      <c r="H33" s="12">
        <f t="shared" si="5"/>
        <v>0.75683963223613571</v>
      </c>
    </row>
    <row r="34" spans="1:8">
      <c r="A34" s="9">
        <v>2023</v>
      </c>
      <c r="B34" s="9" t="s">
        <v>77</v>
      </c>
      <c r="C34" s="10">
        <v>11549634.1</v>
      </c>
      <c r="D34" s="11">
        <v>1757969334.4300001</v>
      </c>
      <c r="E34" s="11">
        <v>1353260807.24</v>
      </c>
      <c r="F34" s="11">
        <f t="shared" si="3"/>
        <v>152.2099591388787</v>
      </c>
      <c r="G34" s="11">
        <f t="shared" si="4"/>
        <v>117.16914973436259</v>
      </c>
      <c r="H34" s="12">
        <f t="shared" si="5"/>
        <v>0.76978635561852859</v>
      </c>
    </row>
    <row r="35" spans="1:8">
      <c r="A35" s="9">
        <v>2023</v>
      </c>
      <c r="B35" s="9" t="s">
        <v>78</v>
      </c>
      <c r="C35" s="10">
        <v>2889564.5</v>
      </c>
      <c r="D35" s="11">
        <v>265194078.50999999</v>
      </c>
      <c r="E35" s="11">
        <v>197068421.28</v>
      </c>
      <c r="F35" s="11">
        <f t="shared" si="3"/>
        <v>91.776486910051673</v>
      </c>
      <c r="G35" s="11">
        <f t="shared" si="4"/>
        <v>68.200042352402932</v>
      </c>
      <c r="H35" s="12">
        <f t="shared" si="5"/>
        <v>0.74311018702692833</v>
      </c>
    </row>
    <row r="36" spans="1:8">
      <c r="A36" s="9">
        <v>2023</v>
      </c>
      <c r="B36" s="9" t="s">
        <v>79</v>
      </c>
      <c r="C36" s="10">
        <v>125398</v>
      </c>
      <c r="D36" s="11">
        <v>12780743.210000001</v>
      </c>
      <c r="E36" s="11">
        <v>9577604.4499999993</v>
      </c>
      <c r="F36" s="11">
        <f t="shared" si="3"/>
        <v>101.92142785371378</v>
      </c>
      <c r="G36" s="11">
        <f t="shared" si="4"/>
        <v>76.377649165058443</v>
      </c>
      <c r="H36" s="12">
        <f t="shared" si="5"/>
        <v>0.74937773904308014</v>
      </c>
    </row>
    <row r="37" spans="1:8">
      <c r="A37" s="9">
        <v>2023</v>
      </c>
      <c r="B37" s="9" t="s">
        <v>80</v>
      </c>
      <c r="C37" s="10">
        <v>4490118</v>
      </c>
      <c r="D37" s="11">
        <v>146090007.62</v>
      </c>
      <c r="E37" s="11">
        <v>112253160.78</v>
      </c>
      <c r="F37" s="11">
        <f t="shared" si="3"/>
        <v>32.535894963116782</v>
      </c>
      <c r="G37" s="11">
        <f t="shared" si="4"/>
        <v>25.000046943087021</v>
      </c>
      <c r="H37" s="12">
        <f t="shared" si="5"/>
        <v>0.76838356441178202</v>
      </c>
    </row>
    <row r="38" spans="1:8">
      <c r="A38" s="9">
        <v>2023</v>
      </c>
      <c r="B38" s="9" t="s">
        <v>81</v>
      </c>
      <c r="C38" s="10">
        <v>3203183</v>
      </c>
      <c r="D38" s="11">
        <v>292813108</v>
      </c>
      <c r="E38" s="11">
        <v>218187000.30000001</v>
      </c>
      <c r="F38" s="11">
        <f t="shared" si="3"/>
        <v>91.413168713745051</v>
      </c>
      <c r="G38" s="11">
        <f t="shared" si="4"/>
        <v>68.115683774545516</v>
      </c>
      <c r="H38" s="12">
        <f t="shared" si="5"/>
        <v>0.74514082306725149</v>
      </c>
    </row>
    <row r="39" spans="1:8">
      <c r="A39" s="9">
        <v>2023</v>
      </c>
      <c r="B39" s="9" t="s">
        <v>82</v>
      </c>
      <c r="C39" s="10">
        <v>12422044</v>
      </c>
      <c r="D39" s="11">
        <v>249658380.59999999</v>
      </c>
      <c r="E39" s="11">
        <v>193381555.44999999</v>
      </c>
      <c r="F39" s="11">
        <f t="shared" si="3"/>
        <v>20.098011293471508</v>
      </c>
      <c r="G39" s="11">
        <f t="shared" si="4"/>
        <v>15.567611533979431</v>
      </c>
      <c r="H39" s="12">
        <f t="shared" si="5"/>
        <v>0.77458467440688028</v>
      </c>
    </row>
    <row r="40" spans="1:8">
      <c r="A40" s="9">
        <v>2023</v>
      </c>
      <c r="B40" s="9" t="s">
        <v>83</v>
      </c>
      <c r="C40" s="10">
        <v>422836633.30000001</v>
      </c>
      <c r="D40" s="11">
        <v>8253216095.3900003</v>
      </c>
      <c r="E40" s="11">
        <v>6385506365</v>
      </c>
      <c r="F40" s="11">
        <f t="shared" si="3"/>
        <v>19.518687467966839</v>
      </c>
      <c r="G40" s="11">
        <f t="shared" si="4"/>
        <v>15.1015921093798</v>
      </c>
      <c r="H40" s="12">
        <f t="shared" si="5"/>
        <v>0.77369916056926624</v>
      </c>
    </row>
    <row r="41" spans="1:8">
      <c r="A41" s="9">
        <v>2023</v>
      </c>
      <c r="B41" s="9" t="s">
        <v>84</v>
      </c>
      <c r="C41" s="10">
        <v>989872.9</v>
      </c>
      <c r="D41" s="11">
        <v>31942061.699999999</v>
      </c>
      <c r="E41" s="11">
        <v>24795860.960000001</v>
      </c>
      <c r="F41" s="11">
        <f t="shared" si="3"/>
        <v>32.268851586905754</v>
      </c>
      <c r="G41" s="11">
        <f t="shared" si="4"/>
        <v>25.049540158135454</v>
      </c>
      <c r="H41" s="12">
        <f t="shared" si="5"/>
        <v>0.77627615878032075</v>
      </c>
    </row>
    <row r="42" spans="1:8">
      <c r="A42" s="9">
        <v>2023</v>
      </c>
      <c r="B42" s="9" t="s">
        <v>85</v>
      </c>
      <c r="C42" s="10">
        <v>148668</v>
      </c>
      <c r="D42" s="11">
        <v>7623161.8600000003</v>
      </c>
      <c r="E42" s="11">
        <v>5958538.5499999998</v>
      </c>
      <c r="F42" s="11">
        <f t="shared" si="3"/>
        <v>51.276413619608796</v>
      </c>
      <c r="G42" s="11">
        <f t="shared" si="4"/>
        <v>40.079496260123229</v>
      </c>
      <c r="H42" s="12">
        <f t="shared" si="5"/>
        <v>0.78163610578248954</v>
      </c>
    </row>
    <row r="43" spans="1:8">
      <c r="A43" s="9">
        <v>2023</v>
      </c>
      <c r="B43" s="9" t="s">
        <v>86</v>
      </c>
      <c r="C43" s="10">
        <v>1727102.2</v>
      </c>
      <c r="D43" s="11">
        <v>15651626.029999999</v>
      </c>
      <c r="E43" s="11">
        <v>12249298.029999999</v>
      </c>
      <c r="F43" s="11">
        <f t="shared" si="3"/>
        <v>9.0623623952305774</v>
      </c>
      <c r="G43" s="11">
        <f t="shared" si="4"/>
        <v>7.0923990659035692</v>
      </c>
      <c r="H43" s="12">
        <f t="shared" si="5"/>
        <v>0.78262143540366713</v>
      </c>
    </row>
    <row r="44" spans="1:8">
      <c r="A44" s="9">
        <v>2023</v>
      </c>
      <c r="B44" s="9" t="s">
        <v>87</v>
      </c>
      <c r="C44" s="10">
        <v>961256.5</v>
      </c>
      <c r="D44" s="11">
        <v>75395397.819999993</v>
      </c>
      <c r="E44" s="11">
        <v>57985796.219999999</v>
      </c>
      <c r="F44" s="11">
        <f t="shared" si="3"/>
        <v>78.434213781649319</v>
      </c>
      <c r="G44" s="11">
        <f t="shared" si="4"/>
        <v>60.3229171610283</v>
      </c>
      <c r="H44" s="12">
        <f t="shared" si="5"/>
        <v>0.76908933299133297</v>
      </c>
    </row>
    <row r="45" spans="1:8">
      <c r="A45" s="9">
        <v>2023</v>
      </c>
      <c r="B45" s="9" t="s">
        <v>88</v>
      </c>
      <c r="C45" s="10">
        <v>160127</v>
      </c>
      <c r="D45" s="11">
        <v>8825298.9100000001</v>
      </c>
      <c r="E45" s="11">
        <v>6686851.1699999999</v>
      </c>
      <c r="F45" s="11">
        <f t="shared" si="3"/>
        <v>55.114371155395403</v>
      </c>
      <c r="G45" s="11">
        <f t="shared" si="4"/>
        <v>41.759673071999103</v>
      </c>
      <c r="H45" s="12">
        <f t="shared" si="5"/>
        <v>0.75769118283609493</v>
      </c>
    </row>
    <row r="46" spans="1:8">
      <c r="A46" s="9">
        <v>2023</v>
      </c>
      <c r="B46" s="9" t="s">
        <v>89</v>
      </c>
      <c r="C46" s="10">
        <v>13417460.800000001</v>
      </c>
      <c r="D46" s="11">
        <v>1324058805.6600001</v>
      </c>
      <c r="E46" s="11">
        <v>1020051201.09</v>
      </c>
      <c r="F46" s="11">
        <f t="shared" si="3"/>
        <v>98.681771864017676</v>
      </c>
      <c r="G46" s="11">
        <f t="shared" si="4"/>
        <v>76.024161075991373</v>
      </c>
      <c r="H46" s="12">
        <f t="shared" si="5"/>
        <v>0.77039720345467422</v>
      </c>
    </row>
    <row r="47" spans="1:8">
      <c r="A47" s="9">
        <v>2023</v>
      </c>
      <c r="B47" s="9" t="s">
        <v>90</v>
      </c>
      <c r="C47" s="10">
        <v>28142845.800000001</v>
      </c>
      <c r="D47" s="11">
        <v>1184257387.46</v>
      </c>
      <c r="E47" s="11">
        <v>905603254.21000004</v>
      </c>
      <c r="F47" s="11">
        <f t="shared" si="3"/>
        <v>42.080228697411975</v>
      </c>
      <c r="G47" s="11">
        <f t="shared" si="4"/>
        <v>32.17880880440314</v>
      </c>
      <c r="H47" s="12">
        <f t="shared" si="5"/>
        <v>0.76470137640630764</v>
      </c>
    </row>
    <row r="48" spans="1:8">
      <c r="A48" s="9">
        <v>2023</v>
      </c>
      <c r="B48" s="9" t="s">
        <v>91</v>
      </c>
      <c r="C48" s="10">
        <v>918935</v>
      </c>
      <c r="D48" s="11">
        <v>265526558.91</v>
      </c>
      <c r="E48" s="11">
        <v>205042769.33000001</v>
      </c>
      <c r="F48" s="11">
        <f t="shared" si="3"/>
        <v>288.9503163009353</v>
      </c>
      <c r="G48" s="11">
        <f t="shared" si="4"/>
        <v>223.13087359824146</v>
      </c>
      <c r="H48" s="12">
        <f t="shared" si="5"/>
        <v>0.77221190291363317</v>
      </c>
    </row>
    <row r="49" spans="1:8">
      <c r="A49" s="9">
        <v>2023</v>
      </c>
      <c r="B49" s="9" t="s">
        <v>92</v>
      </c>
      <c r="C49" s="10">
        <v>834872</v>
      </c>
      <c r="D49" s="11">
        <v>297707023.64999998</v>
      </c>
      <c r="E49" s="11">
        <v>229664520.30000001</v>
      </c>
      <c r="F49" s="11">
        <f t="shared" si="3"/>
        <v>356.59002056602685</v>
      </c>
      <c r="G49" s="11">
        <f t="shared" si="4"/>
        <v>275.08949910884542</v>
      </c>
      <c r="H49" s="12">
        <f t="shared" si="5"/>
        <v>0.77144474955352649</v>
      </c>
    </row>
    <row r="50" spans="1:8">
      <c r="A50" s="9">
        <v>2023</v>
      </c>
      <c r="B50" s="9" t="s">
        <v>93</v>
      </c>
      <c r="C50" s="10">
        <v>148309</v>
      </c>
      <c r="D50" s="11">
        <v>53471497.549999997</v>
      </c>
      <c r="E50" s="11">
        <v>41450370.399999999</v>
      </c>
      <c r="F50" s="11">
        <f t="shared" si="3"/>
        <v>360.54115090790174</v>
      </c>
      <c r="G50" s="11">
        <f t="shared" si="4"/>
        <v>279.48654768085549</v>
      </c>
      <c r="H50" s="12">
        <f t="shared" si="5"/>
        <v>0.77518626369573229</v>
      </c>
    </row>
    <row r="51" spans="1:8">
      <c r="A51" s="9">
        <v>2023</v>
      </c>
      <c r="B51" s="9" t="s">
        <v>94</v>
      </c>
      <c r="C51" s="10">
        <v>52011556.700000003</v>
      </c>
      <c r="D51" s="11">
        <v>766258790.34000003</v>
      </c>
      <c r="E51" s="11">
        <v>593251927.08000004</v>
      </c>
      <c r="F51" s="11">
        <f t="shared" si="3"/>
        <v>14.732471761223021</v>
      </c>
      <c r="G51" s="11">
        <f t="shared" si="4"/>
        <v>11.406155953028801</v>
      </c>
      <c r="H51" s="12">
        <f t="shared" si="5"/>
        <v>0.7742187555418002</v>
      </c>
    </row>
    <row r="52" spans="1:8">
      <c r="A52" s="9">
        <v>2023</v>
      </c>
      <c r="B52" s="9" t="s">
        <v>95</v>
      </c>
      <c r="C52" s="10">
        <v>14710</v>
      </c>
      <c r="D52" s="11">
        <v>1737864.41</v>
      </c>
      <c r="E52" s="11">
        <v>1354304.59</v>
      </c>
      <c r="F52" s="11">
        <f t="shared" si="3"/>
        <v>118.14170020394289</v>
      </c>
      <c r="G52" s="11">
        <f t="shared" si="4"/>
        <v>92.066933378653985</v>
      </c>
      <c r="H52" s="12">
        <f t="shared" si="5"/>
        <v>0.77929243628391021</v>
      </c>
    </row>
    <row r="53" spans="1:8">
      <c r="A53" s="9">
        <v>2023</v>
      </c>
      <c r="B53" s="9" t="s">
        <v>96</v>
      </c>
      <c r="C53" s="10">
        <v>8038</v>
      </c>
      <c r="D53" s="11">
        <v>9386</v>
      </c>
      <c r="E53" s="11">
        <v>7181.44</v>
      </c>
      <c r="F53" s="11">
        <f t="shared" si="3"/>
        <v>1.1677034088081613</v>
      </c>
      <c r="G53" s="11">
        <f t="shared" si="4"/>
        <v>0.89343617815376952</v>
      </c>
      <c r="H53" s="12">
        <f t="shared" si="5"/>
        <v>0.76512252290645644</v>
      </c>
    </row>
    <row r="54" spans="1:8">
      <c r="A54" s="9">
        <v>2023</v>
      </c>
      <c r="B54" s="9" t="s">
        <v>97</v>
      </c>
      <c r="C54" s="10">
        <v>177669308.90000001</v>
      </c>
      <c r="D54" s="11">
        <v>10015979350.040001</v>
      </c>
      <c r="E54" s="11">
        <v>7396899429.1099997</v>
      </c>
      <c r="F54" s="11">
        <f t="shared" si="3"/>
        <v>56.374279902655715</v>
      </c>
      <c r="G54" s="11">
        <f t="shared" si="4"/>
        <v>41.63296111695518</v>
      </c>
      <c r="H54" s="12">
        <f t="shared" si="5"/>
        <v>0.73850985216742271</v>
      </c>
    </row>
    <row r="55" spans="1:8">
      <c r="A55" s="9">
        <v>2023</v>
      </c>
      <c r="B55" s="9" t="s">
        <v>98</v>
      </c>
      <c r="C55" s="10">
        <v>13106319.300000001</v>
      </c>
      <c r="D55" s="11">
        <v>1251526881.54</v>
      </c>
      <c r="E55" s="11">
        <v>943027307.63999999</v>
      </c>
      <c r="F55" s="11">
        <f t="shared" si="3"/>
        <v>95.490339651651851</v>
      </c>
      <c r="G55" s="11">
        <f t="shared" si="4"/>
        <v>71.952108448937295</v>
      </c>
      <c r="H55" s="12">
        <f t="shared" si="5"/>
        <v>0.75350144016052445</v>
      </c>
    </row>
    <row r="56" spans="1:8">
      <c r="A56" s="9">
        <v>2023</v>
      </c>
      <c r="B56" s="9" t="s">
        <v>99</v>
      </c>
      <c r="C56" s="10">
        <v>7438055.7000000002</v>
      </c>
      <c r="D56" s="11">
        <v>404840666.19999999</v>
      </c>
      <c r="E56" s="11">
        <v>310756637.38</v>
      </c>
      <c r="F56" s="11">
        <f t="shared" si="3"/>
        <v>54.428291818250294</v>
      </c>
      <c r="G56" s="11">
        <f t="shared" si="4"/>
        <v>41.779283446344721</v>
      </c>
      <c r="H56" s="12">
        <f t="shared" si="5"/>
        <v>0.76760232685339846</v>
      </c>
    </row>
    <row r="57" spans="1:8">
      <c r="A57" s="9">
        <v>2023</v>
      </c>
      <c r="B57" s="9" t="s">
        <v>100</v>
      </c>
      <c r="C57" s="10">
        <v>7767382.5</v>
      </c>
      <c r="D57" s="11">
        <v>485867108.27999997</v>
      </c>
      <c r="E57" s="11">
        <v>376376265.43000001</v>
      </c>
      <c r="F57" s="11">
        <f t="shared" si="3"/>
        <v>62.552231498835027</v>
      </c>
      <c r="G57" s="11">
        <f t="shared" si="4"/>
        <v>48.45599729767396</v>
      </c>
      <c r="H57" s="12">
        <f t="shared" si="5"/>
        <v>0.77464857986043878</v>
      </c>
    </row>
    <row r="58" spans="1:8">
      <c r="A58" s="9">
        <v>2023</v>
      </c>
      <c r="B58" s="9" t="s">
        <v>101</v>
      </c>
      <c r="C58" s="10">
        <v>7094378.5</v>
      </c>
      <c r="D58" s="11">
        <v>624359294.71000004</v>
      </c>
      <c r="E58" s="11">
        <v>466618768.10000002</v>
      </c>
      <c r="F58" s="11">
        <f t="shared" si="3"/>
        <v>88.00760978710116</v>
      </c>
      <c r="G58" s="11">
        <f t="shared" si="4"/>
        <v>65.773029744606944</v>
      </c>
      <c r="H58" s="12">
        <f t="shared" si="5"/>
        <v>0.74735616503752589</v>
      </c>
    </row>
    <row r="59" spans="1:8">
      <c r="A59" s="9">
        <v>2023</v>
      </c>
      <c r="B59" s="9" t="s">
        <v>102</v>
      </c>
      <c r="C59" s="10">
        <v>23702</v>
      </c>
      <c r="D59" s="11">
        <v>1889068.43</v>
      </c>
      <c r="E59" s="11">
        <v>1790820.89</v>
      </c>
      <c r="F59" s="11">
        <f t="shared" si="3"/>
        <v>79.700802885832417</v>
      </c>
      <c r="G59" s="11">
        <f t="shared" si="4"/>
        <v>75.555686861868196</v>
      </c>
      <c r="H59" s="12">
        <f t="shared" si="5"/>
        <v>0.94799153993590368</v>
      </c>
    </row>
    <row r="60" spans="1:8">
      <c r="A60" s="9">
        <v>2023</v>
      </c>
      <c r="B60" s="9" t="s">
        <v>103</v>
      </c>
      <c r="C60" s="10">
        <v>38918192.799999997</v>
      </c>
      <c r="D60" s="11">
        <v>1578872368.49</v>
      </c>
      <c r="E60" s="11">
        <v>1544732956.3499999</v>
      </c>
      <c r="F60" s="11">
        <f t="shared" si="3"/>
        <v>40.569005261981232</v>
      </c>
      <c r="G60" s="11">
        <f t="shared" si="4"/>
        <v>39.691795667089657</v>
      </c>
      <c r="H60" s="12">
        <f t="shared" si="5"/>
        <v>0.97837734523617614</v>
      </c>
    </row>
    <row r="61" spans="1:8">
      <c r="A61" s="9">
        <v>2023</v>
      </c>
      <c r="B61" s="9" t="s">
        <v>104</v>
      </c>
      <c r="C61" s="10">
        <v>101654</v>
      </c>
      <c r="D61" s="11">
        <v>15457039.24</v>
      </c>
      <c r="E61" s="11">
        <v>11631780.49</v>
      </c>
      <c r="F61" s="11">
        <f t="shared" si="3"/>
        <v>152.05539614771678</v>
      </c>
      <c r="G61" s="11">
        <f t="shared" si="4"/>
        <v>114.42521189525253</v>
      </c>
      <c r="H61" s="12">
        <f t="shared" si="5"/>
        <v>0.75252319085139363</v>
      </c>
    </row>
    <row r="62" spans="1:8">
      <c r="A62" s="9">
        <v>2023</v>
      </c>
      <c r="B62" s="9" t="s">
        <v>105</v>
      </c>
      <c r="C62" s="10">
        <v>9332</v>
      </c>
      <c r="D62" s="11">
        <v>989619.38</v>
      </c>
      <c r="E62" s="11">
        <v>724566.4</v>
      </c>
      <c r="F62" s="11">
        <f t="shared" si="3"/>
        <v>106.04579725675096</v>
      </c>
      <c r="G62" s="11">
        <f t="shared" si="4"/>
        <v>77.643206172310329</v>
      </c>
      <c r="H62" s="12">
        <f t="shared" si="5"/>
        <v>0.73216674475392751</v>
      </c>
    </row>
    <row r="63" spans="1:8">
      <c r="A63" s="9">
        <v>2023</v>
      </c>
      <c r="B63" s="9" t="s">
        <v>106</v>
      </c>
      <c r="C63" s="10">
        <v>115778811.90000001</v>
      </c>
      <c r="D63" s="11">
        <v>2447468960.3200002</v>
      </c>
      <c r="E63" s="11">
        <v>1899938278.8299999</v>
      </c>
      <c r="F63" s="11">
        <f t="shared" si="3"/>
        <v>21.139178405405627</v>
      </c>
      <c r="G63" s="11">
        <f t="shared" si="4"/>
        <v>16.410068886101602</v>
      </c>
      <c r="H63" s="12">
        <f t="shared" si="5"/>
        <v>0.77628697631433408</v>
      </c>
    </row>
    <row r="64" spans="1:8">
      <c r="A64" s="9">
        <v>2023</v>
      </c>
      <c r="B64" s="9" t="s">
        <v>107</v>
      </c>
      <c r="C64" s="10">
        <v>728899793</v>
      </c>
      <c r="D64" s="11">
        <v>8835160795.9500008</v>
      </c>
      <c r="E64" s="11">
        <v>6787450441.8299999</v>
      </c>
      <c r="F64" s="11">
        <f t="shared" si="3"/>
        <v>12.121228296123279</v>
      </c>
      <c r="G64" s="11">
        <f t="shared" si="4"/>
        <v>9.3119116057013347</v>
      </c>
      <c r="H64" s="12">
        <f t="shared" si="5"/>
        <v>0.76823168231882522</v>
      </c>
    </row>
    <row r="65" spans="1:8">
      <c r="A65" s="9">
        <v>2023</v>
      </c>
      <c r="B65" s="9" t="s">
        <v>108</v>
      </c>
      <c r="C65" s="10">
        <v>52223238</v>
      </c>
      <c r="D65" s="11">
        <v>633064584.39999998</v>
      </c>
      <c r="E65" s="11">
        <v>493792727.56</v>
      </c>
      <c r="F65" s="11">
        <f t="shared" si="3"/>
        <v>12.122277527103929</v>
      </c>
      <c r="G65" s="11">
        <f t="shared" si="4"/>
        <v>9.4554215033545024</v>
      </c>
      <c r="H65" s="12">
        <f t="shared" si="5"/>
        <v>0.78000371483108988</v>
      </c>
    </row>
    <row r="66" spans="1:8">
      <c r="A66" s="9">
        <v>2023</v>
      </c>
      <c r="B66" s="9" t="s">
        <v>109</v>
      </c>
      <c r="C66" s="10">
        <v>338307</v>
      </c>
      <c r="D66" s="11">
        <v>11484321.49</v>
      </c>
      <c r="E66" s="11">
        <v>8841967.2899999991</v>
      </c>
      <c r="F66" s="11">
        <f t="shared" si="3"/>
        <v>33.946449497054452</v>
      </c>
      <c r="G66" s="11">
        <f t="shared" si="4"/>
        <v>26.13592769289432</v>
      </c>
      <c r="H66" s="12">
        <f t="shared" si="5"/>
        <v>0.76991638536931961</v>
      </c>
    </row>
    <row r="67" spans="1:8">
      <c r="A67" s="9">
        <v>2023</v>
      </c>
      <c r="B67" s="9" t="s">
        <v>110</v>
      </c>
      <c r="C67" s="10">
        <v>60091178</v>
      </c>
      <c r="D67" s="11">
        <v>459473758.13999999</v>
      </c>
      <c r="E67" s="11">
        <v>359469772.67000002</v>
      </c>
      <c r="F67" s="11">
        <f t="shared" si="3"/>
        <v>7.6462764324573564</v>
      </c>
      <c r="G67" s="11">
        <f t="shared" si="4"/>
        <v>5.9820723213314277</v>
      </c>
      <c r="H67" s="12">
        <f t="shared" si="5"/>
        <v>0.78235104029699754</v>
      </c>
    </row>
    <row r="68" spans="1:8">
      <c r="A68" s="9">
        <v>2023</v>
      </c>
      <c r="B68" s="9" t="s">
        <v>111</v>
      </c>
      <c r="C68" s="10">
        <v>1717431</v>
      </c>
      <c r="D68" s="11">
        <v>153378168.69</v>
      </c>
      <c r="E68" s="11">
        <v>118182391.42</v>
      </c>
      <c r="F68" s="11">
        <f t="shared" ref="F68:F130" si="6">IFERROR(D68/C68,0)</f>
        <v>89.306742856044863</v>
      </c>
      <c r="G68" s="11">
        <f t="shared" ref="G68:G130" si="7">IFERROR(E68/C68,0)</f>
        <v>68.813472809096851</v>
      </c>
      <c r="H68" s="12">
        <f t="shared" ref="H68:H130" si="8">IFERROR(E68/D68,0)</f>
        <v>0.77052942038227179</v>
      </c>
    </row>
    <row r="69" spans="1:8">
      <c r="A69" s="9">
        <v>2023</v>
      </c>
      <c r="B69" s="9" t="s">
        <v>112</v>
      </c>
      <c r="C69" s="10">
        <v>314435</v>
      </c>
      <c r="D69" s="11">
        <v>3365326.33</v>
      </c>
      <c r="E69" s="11">
        <v>2512160.09</v>
      </c>
      <c r="F69" s="11">
        <f t="shared" si="6"/>
        <v>10.702772687518884</v>
      </c>
      <c r="G69" s="11">
        <f t="shared" si="7"/>
        <v>7.989441665209025</v>
      </c>
      <c r="H69" s="12">
        <f t="shared" si="8"/>
        <v>0.74648335515206921</v>
      </c>
    </row>
    <row r="70" spans="1:8">
      <c r="A70" s="9">
        <v>2023</v>
      </c>
      <c r="B70" s="9" t="s">
        <v>113</v>
      </c>
      <c r="C70" s="10">
        <v>123926193</v>
      </c>
      <c r="D70" s="11">
        <v>1854040239.0899999</v>
      </c>
      <c r="E70" s="11">
        <v>1415215176.8399999</v>
      </c>
      <c r="F70" s="11">
        <f t="shared" si="6"/>
        <v>14.960842370829546</v>
      </c>
      <c r="G70" s="11">
        <f t="shared" si="7"/>
        <v>11.419822900877783</v>
      </c>
      <c r="H70" s="12">
        <f t="shared" si="8"/>
        <v>0.76331416492590032</v>
      </c>
    </row>
    <row r="71" spans="1:8">
      <c r="A71" s="9">
        <v>2023</v>
      </c>
      <c r="B71" s="9" t="s">
        <v>114</v>
      </c>
      <c r="C71" s="10">
        <v>7838</v>
      </c>
      <c r="D71" s="11">
        <v>1129542.75</v>
      </c>
      <c r="E71" s="11">
        <v>878451.19</v>
      </c>
      <c r="F71" s="11">
        <f t="shared" si="6"/>
        <v>144.11109339117121</v>
      </c>
      <c r="G71" s="11">
        <f t="shared" si="7"/>
        <v>112.07593646338351</v>
      </c>
      <c r="H71" s="12">
        <f t="shared" si="8"/>
        <v>0.77770512891167687</v>
      </c>
    </row>
    <row r="72" spans="1:8">
      <c r="A72" s="9">
        <v>2023</v>
      </c>
      <c r="B72" s="9" t="s">
        <v>115</v>
      </c>
      <c r="C72" s="10">
        <v>3514</v>
      </c>
      <c r="D72" s="11">
        <v>358825.23</v>
      </c>
      <c r="E72" s="11">
        <v>351485.98</v>
      </c>
      <c r="F72" s="11">
        <f t="shared" si="6"/>
        <v>102.1130421172453</v>
      </c>
      <c r="G72" s="11">
        <f t="shared" si="7"/>
        <v>100.02446784291405</v>
      </c>
      <c r="H72" s="12">
        <f t="shared" si="8"/>
        <v>0.97954644939543412</v>
      </c>
    </row>
    <row r="73" spans="1:8">
      <c r="A73" s="9">
        <v>2023</v>
      </c>
      <c r="B73" s="9" t="s">
        <v>173</v>
      </c>
      <c r="C73" s="10">
        <v>22</v>
      </c>
      <c r="D73" s="11">
        <v>2286.9699999999998</v>
      </c>
      <c r="E73" s="11">
        <v>1787.49</v>
      </c>
      <c r="F73" s="11">
        <f t="shared" si="6"/>
        <v>103.9531818181818</v>
      </c>
      <c r="G73" s="11">
        <f t="shared" si="7"/>
        <v>81.249545454545455</v>
      </c>
      <c r="H73" s="12">
        <f t="shared" si="8"/>
        <v>0.78159748488174319</v>
      </c>
    </row>
    <row r="74" spans="1:8">
      <c r="A74" s="9">
        <v>2023</v>
      </c>
      <c r="B74" s="9" t="s">
        <v>116</v>
      </c>
      <c r="C74" s="10">
        <v>1444248</v>
      </c>
      <c r="D74" s="11">
        <v>290135473.06</v>
      </c>
      <c r="E74" s="11">
        <v>223418387.84</v>
      </c>
      <c r="F74" s="11">
        <f t="shared" si="6"/>
        <v>200.89034089713124</v>
      </c>
      <c r="G74" s="11">
        <f t="shared" si="7"/>
        <v>154.69530706637642</v>
      </c>
      <c r="H74" s="12">
        <f t="shared" si="8"/>
        <v>0.77004850693936722</v>
      </c>
    </row>
    <row r="75" spans="1:8">
      <c r="A75" s="9">
        <v>2023</v>
      </c>
      <c r="B75" s="9" t="s">
        <v>117</v>
      </c>
      <c r="C75" s="10">
        <v>19853737</v>
      </c>
      <c r="D75" s="11">
        <v>1824446375.3199999</v>
      </c>
      <c r="E75" s="11">
        <v>1373287571.9300001</v>
      </c>
      <c r="F75" s="11">
        <f t="shared" si="6"/>
        <v>91.89435597540151</v>
      </c>
      <c r="G75" s="11">
        <f t="shared" si="7"/>
        <v>69.170230870389801</v>
      </c>
      <c r="H75" s="12">
        <f t="shared" si="8"/>
        <v>0.75271468129017027</v>
      </c>
    </row>
    <row r="76" spans="1:8">
      <c r="A76" s="9">
        <v>2023</v>
      </c>
      <c r="B76" s="9" t="s">
        <v>118</v>
      </c>
      <c r="C76" s="10">
        <v>57053693</v>
      </c>
      <c r="D76" s="11">
        <v>2121582122.0599999</v>
      </c>
      <c r="E76" s="11">
        <v>1590004581.75</v>
      </c>
      <c r="F76" s="11">
        <f t="shared" si="6"/>
        <v>37.185710696413636</v>
      </c>
      <c r="G76" s="11">
        <f t="shared" si="7"/>
        <v>27.868565523882914</v>
      </c>
      <c r="H76" s="12">
        <f t="shared" si="8"/>
        <v>0.74944286399158933</v>
      </c>
    </row>
    <row r="77" spans="1:8">
      <c r="A77" s="9">
        <v>2023</v>
      </c>
      <c r="B77" s="9" t="s">
        <v>119</v>
      </c>
      <c r="C77" s="10">
        <v>198951</v>
      </c>
      <c r="D77" s="11">
        <v>11429993.189999999</v>
      </c>
      <c r="E77" s="11">
        <v>8596715.0500000007</v>
      </c>
      <c r="F77" s="11">
        <f t="shared" si="6"/>
        <v>57.451298008052234</v>
      </c>
      <c r="G77" s="11">
        <f t="shared" si="7"/>
        <v>43.21021281622108</v>
      </c>
      <c r="H77" s="12">
        <f t="shared" si="8"/>
        <v>0.75211900016888822</v>
      </c>
    </row>
    <row r="78" spans="1:8">
      <c r="A78" s="9">
        <v>2023</v>
      </c>
      <c r="B78" s="9" t="s">
        <v>120</v>
      </c>
      <c r="C78" s="10">
        <v>2672915.2000000002</v>
      </c>
      <c r="D78" s="11">
        <v>729261671.63999999</v>
      </c>
      <c r="E78" s="11">
        <v>563940711.35000002</v>
      </c>
      <c r="F78" s="11">
        <f t="shared" si="6"/>
        <v>272.83382265176238</v>
      </c>
      <c r="G78" s="11">
        <f t="shared" si="7"/>
        <v>210.98339047568737</v>
      </c>
      <c r="H78" s="12">
        <f t="shared" si="8"/>
        <v>0.77330364844457278</v>
      </c>
    </row>
    <row r="79" spans="1:8">
      <c r="A79" s="9">
        <v>2023</v>
      </c>
      <c r="B79" s="9" t="s">
        <v>121</v>
      </c>
      <c r="C79" s="10">
        <v>2192397.9</v>
      </c>
      <c r="D79" s="11">
        <v>217861277.75999999</v>
      </c>
      <c r="E79" s="11">
        <v>169690145.88999999</v>
      </c>
      <c r="F79" s="11">
        <f t="shared" si="6"/>
        <v>99.37123081535519</v>
      </c>
      <c r="G79" s="11">
        <f t="shared" si="7"/>
        <v>77.39933790759423</v>
      </c>
      <c r="H79" s="12">
        <f t="shared" si="8"/>
        <v>0.77889080443626968</v>
      </c>
    </row>
    <row r="80" spans="1:8">
      <c r="A80" s="9">
        <v>2023</v>
      </c>
      <c r="B80" s="9" t="s">
        <v>122</v>
      </c>
      <c r="C80" s="10">
        <v>182500692.80000001</v>
      </c>
      <c r="D80" s="11">
        <v>9961901715.8600006</v>
      </c>
      <c r="E80" s="11">
        <v>7477779265.9099998</v>
      </c>
      <c r="F80" s="11">
        <f t="shared" si="6"/>
        <v>54.585555610888072</v>
      </c>
      <c r="G80" s="11">
        <f t="shared" si="7"/>
        <v>40.973977419936674</v>
      </c>
      <c r="H80" s="12">
        <f t="shared" si="8"/>
        <v>0.75063772753397928</v>
      </c>
    </row>
    <row r="81" spans="1:8">
      <c r="A81" s="9">
        <v>2023</v>
      </c>
      <c r="B81" s="9" t="s">
        <v>123</v>
      </c>
      <c r="C81" s="10">
        <v>538</v>
      </c>
      <c r="D81" s="11">
        <v>5259.35</v>
      </c>
      <c r="E81" s="11">
        <v>3658.62</v>
      </c>
      <c r="F81" s="11">
        <f t="shared" si="6"/>
        <v>9.7757434944237929</v>
      </c>
      <c r="G81" s="11">
        <f t="shared" si="7"/>
        <v>6.8004089219330854</v>
      </c>
      <c r="H81" s="12">
        <f t="shared" si="8"/>
        <v>0.69564109633319704</v>
      </c>
    </row>
    <row r="82" spans="1:8">
      <c r="A82" s="9">
        <v>2023</v>
      </c>
      <c r="B82" s="9" t="s">
        <v>124</v>
      </c>
      <c r="C82" s="10">
        <v>8861236.5</v>
      </c>
      <c r="D82" s="11">
        <v>548744187.41999996</v>
      </c>
      <c r="E82" s="11">
        <v>417872534.54000002</v>
      </c>
      <c r="F82" s="11">
        <f t="shared" si="6"/>
        <v>61.926367434161129</v>
      </c>
      <c r="G82" s="11">
        <f t="shared" si="7"/>
        <v>47.157361677458901</v>
      </c>
      <c r="H82" s="12">
        <f t="shared" si="8"/>
        <v>0.7615069901782251</v>
      </c>
    </row>
    <row r="83" spans="1:8">
      <c r="A83" s="9">
        <v>2023</v>
      </c>
      <c r="B83" s="9" t="s">
        <v>125</v>
      </c>
      <c r="C83" s="10">
        <v>18212767.699999999</v>
      </c>
      <c r="D83" s="11">
        <v>525845222.79000002</v>
      </c>
      <c r="E83" s="11">
        <v>396076820.41000003</v>
      </c>
      <c r="F83" s="11">
        <f t="shared" si="6"/>
        <v>28.872340077669801</v>
      </c>
      <c r="G83" s="11">
        <f t="shared" si="7"/>
        <v>21.747206516558165</v>
      </c>
      <c r="H83" s="12">
        <f t="shared" si="8"/>
        <v>0.75321939468902632</v>
      </c>
    </row>
    <row r="84" spans="1:8">
      <c r="A84" s="9">
        <v>2023</v>
      </c>
      <c r="B84" s="9" t="s">
        <v>126</v>
      </c>
      <c r="C84" s="10">
        <v>18923</v>
      </c>
      <c r="D84" s="11">
        <v>5712763.71</v>
      </c>
      <c r="E84" s="11">
        <v>4352262.13</v>
      </c>
      <c r="F84" s="11">
        <f t="shared" si="6"/>
        <v>301.89524441156266</v>
      </c>
      <c r="G84" s="11">
        <f t="shared" si="7"/>
        <v>229.9985271891349</v>
      </c>
      <c r="H84" s="12">
        <f t="shared" si="8"/>
        <v>0.76184879174706843</v>
      </c>
    </row>
    <row r="85" spans="1:8">
      <c r="A85" s="9">
        <v>2023</v>
      </c>
      <c r="B85" s="9" t="s">
        <v>127</v>
      </c>
      <c r="C85" s="10">
        <v>93550803.099999994</v>
      </c>
      <c r="D85" s="11">
        <v>10140386263.209999</v>
      </c>
      <c r="E85" s="11">
        <v>7632288977.4399996</v>
      </c>
      <c r="F85" s="11">
        <f t="shared" si="6"/>
        <v>108.39443304800447</v>
      </c>
      <c r="G85" s="11">
        <f t="shared" si="7"/>
        <v>81.58443032585788</v>
      </c>
      <c r="H85" s="12">
        <f t="shared" si="8"/>
        <v>0.75266254946623246</v>
      </c>
    </row>
    <row r="86" spans="1:8">
      <c r="A86" s="9">
        <v>2023</v>
      </c>
      <c r="B86" s="9" t="s">
        <v>128</v>
      </c>
      <c r="C86" s="10">
        <v>1386642</v>
      </c>
      <c r="D86" s="11">
        <v>243032715.08000001</v>
      </c>
      <c r="E86" s="11">
        <v>233686906.66</v>
      </c>
      <c r="F86" s="11">
        <f t="shared" si="6"/>
        <v>175.26709495313139</v>
      </c>
      <c r="G86" s="11">
        <f t="shared" si="7"/>
        <v>168.52720937343597</v>
      </c>
      <c r="H86" s="12">
        <f t="shared" si="8"/>
        <v>0.96154506023222586</v>
      </c>
    </row>
    <row r="87" spans="1:8">
      <c r="A87" s="9">
        <v>2023</v>
      </c>
      <c r="B87" s="9" t="s">
        <v>129</v>
      </c>
      <c r="C87" s="10">
        <v>42709</v>
      </c>
      <c r="D87" s="11">
        <v>2760079.04</v>
      </c>
      <c r="E87" s="11">
        <v>2055910.37</v>
      </c>
      <c r="F87" s="11">
        <f t="shared" si="6"/>
        <v>64.625232152473714</v>
      </c>
      <c r="G87" s="11">
        <f t="shared" si="7"/>
        <v>48.137637734435366</v>
      </c>
      <c r="H87" s="12">
        <f t="shared" si="8"/>
        <v>0.74487373013781522</v>
      </c>
    </row>
    <row r="88" spans="1:8">
      <c r="A88" s="9">
        <v>2023</v>
      </c>
      <c r="B88" s="9" t="s">
        <v>130</v>
      </c>
      <c r="C88" s="10">
        <v>15811276.5</v>
      </c>
      <c r="D88" s="11">
        <v>1395992949.99</v>
      </c>
      <c r="E88" s="11">
        <v>932983593.69000006</v>
      </c>
      <c r="F88" s="11">
        <f t="shared" si="6"/>
        <v>88.290970687281316</v>
      </c>
      <c r="G88" s="11">
        <f t="shared" si="7"/>
        <v>59.007480748945227</v>
      </c>
      <c r="H88" s="12">
        <f t="shared" si="8"/>
        <v>0.66832973167714305</v>
      </c>
    </row>
    <row r="89" spans="1:8">
      <c r="A89" s="9">
        <v>2023</v>
      </c>
      <c r="B89" s="9" t="s">
        <v>174</v>
      </c>
      <c r="C89" s="10">
        <v>75</v>
      </c>
      <c r="D89" s="11">
        <v>5426.2</v>
      </c>
      <c r="E89" s="11">
        <v>4070.86</v>
      </c>
      <c r="F89" s="11">
        <f t="shared" si="6"/>
        <v>72.349333333333334</v>
      </c>
      <c r="G89" s="11">
        <f t="shared" si="7"/>
        <v>54.278133333333336</v>
      </c>
      <c r="H89" s="12">
        <f t="shared" si="8"/>
        <v>0.75022299214920207</v>
      </c>
    </row>
    <row r="90" spans="1:8">
      <c r="A90" s="9">
        <v>2023</v>
      </c>
      <c r="B90" s="9" t="s">
        <v>131</v>
      </c>
      <c r="C90" s="10">
        <v>240945</v>
      </c>
      <c r="D90" s="11">
        <v>67111814.980000004</v>
      </c>
      <c r="E90" s="11">
        <v>51621687.840000004</v>
      </c>
      <c r="F90" s="11">
        <f t="shared" si="6"/>
        <v>278.53582759550937</v>
      </c>
      <c r="G90" s="11">
        <f t="shared" si="7"/>
        <v>214.24676934570132</v>
      </c>
      <c r="H90" s="12">
        <f t="shared" si="8"/>
        <v>0.76918926802059795</v>
      </c>
    </row>
    <row r="91" spans="1:8">
      <c r="A91" s="9">
        <v>2023</v>
      </c>
      <c r="B91" s="9" t="s">
        <v>132</v>
      </c>
      <c r="C91" s="10">
        <v>49932622.299999997</v>
      </c>
      <c r="D91" s="11">
        <v>3885403900.77</v>
      </c>
      <c r="E91" s="11">
        <v>2924231988.5799999</v>
      </c>
      <c r="F91" s="11">
        <f t="shared" si="6"/>
        <v>77.812935147409632</v>
      </c>
      <c r="G91" s="11">
        <f t="shared" si="7"/>
        <v>58.563557327530944</v>
      </c>
      <c r="H91" s="12">
        <f t="shared" si="8"/>
        <v>0.75261982106943437</v>
      </c>
    </row>
    <row r="92" spans="1:8">
      <c r="A92" s="9">
        <v>2023</v>
      </c>
      <c r="B92" s="9" t="s">
        <v>133</v>
      </c>
      <c r="C92" s="10">
        <v>1278514</v>
      </c>
      <c r="D92" s="11">
        <v>70091694.969999999</v>
      </c>
      <c r="E92" s="11">
        <v>53730841.759999998</v>
      </c>
      <c r="F92" s="11">
        <f t="shared" si="6"/>
        <v>54.822782519393606</v>
      </c>
      <c r="G92" s="11">
        <f t="shared" si="7"/>
        <v>42.026009695631018</v>
      </c>
      <c r="H92" s="12">
        <f t="shared" si="8"/>
        <v>0.76657928992867663</v>
      </c>
    </row>
    <row r="93" spans="1:8">
      <c r="A93" s="9">
        <v>2023</v>
      </c>
      <c r="B93" s="9" t="s">
        <v>134</v>
      </c>
      <c r="C93" s="10">
        <v>13647561.4</v>
      </c>
      <c r="D93" s="11">
        <v>1236765686.1900001</v>
      </c>
      <c r="E93" s="11">
        <v>914183413.22000003</v>
      </c>
      <c r="F93" s="11">
        <f t="shared" si="6"/>
        <v>90.621734531269453</v>
      </c>
      <c r="G93" s="11">
        <f t="shared" si="7"/>
        <v>66.98511085064618</v>
      </c>
      <c r="H93" s="12">
        <f t="shared" si="8"/>
        <v>0.739172685196537</v>
      </c>
    </row>
    <row r="94" spans="1:8">
      <c r="A94" s="9">
        <v>2023</v>
      </c>
      <c r="B94" s="9" t="s">
        <v>135</v>
      </c>
      <c r="C94" s="10">
        <v>2892953</v>
      </c>
      <c r="D94" s="11">
        <v>106146932.11</v>
      </c>
      <c r="E94" s="11">
        <v>80522999.879999995</v>
      </c>
      <c r="F94" s="11">
        <f t="shared" si="6"/>
        <v>36.691550851327349</v>
      </c>
      <c r="G94" s="11">
        <f t="shared" si="7"/>
        <v>27.834188761448939</v>
      </c>
      <c r="H94" s="12">
        <f t="shared" si="8"/>
        <v>0.75859940819160054</v>
      </c>
    </row>
    <row r="95" spans="1:8">
      <c r="A95" s="9">
        <v>2023</v>
      </c>
      <c r="B95" s="9" t="s">
        <v>136</v>
      </c>
      <c r="C95" s="10">
        <v>9944597.0999999996</v>
      </c>
      <c r="D95" s="11">
        <v>586516787.28999996</v>
      </c>
      <c r="E95" s="11">
        <v>446374601.43000001</v>
      </c>
      <c r="F95" s="11">
        <f t="shared" si="6"/>
        <v>58.97843637023766</v>
      </c>
      <c r="G95" s="11">
        <f t="shared" si="7"/>
        <v>44.88614238881533</v>
      </c>
      <c r="H95" s="12">
        <f t="shared" si="8"/>
        <v>0.76106023067553319</v>
      </c>
    </row>
    <row r="96" spans="1:8">
      <c r="A96" s="9">
        <v>2023</v>
      </c>
      <c r="B96" s="9" t="s">
        <v>137</v>
      </c>
      <c r="C96" s="10">
        <v>32843965.300000001</v>
      </c>
      <c r="D96" s="11">
        <v>1379542619.51</v>
      </c>
      <c r="E96" s="11">
        <v>1080774544.78</v>
      </c>
      <c r="F96" s="11">
        <f t="shared" si="6"/>
        <v>42.002925253060113</v>
      </c>
      <c r="G96" s="11">
        <f t="shared" si="7"/>
        <v>32.906335605585355</v>
      </c>
      <c r="H96" s="12">
        <f t="shared" si="8"/>
        <v>0.78342961608817896</v>
      </c>
    </row>
    <row r="97" spans="1:8">
      <c r="A97" s="9">
        <v>2023</v>
      </c>
      <c r="B97" s="9" t="s">
        <v>138</v>
      </c>
      <c r="C97" s="10">
        <v>2344608.7000000002</v>
      </c>
      <c r="D97" s="11">
        <v>100798823.26000001</v>
      </c>
      <c r="E97" s="11">
        <v>76707975.969999999</v>
      </c>
      <c r="F97" s="11">
        <f t="shared" si="6"/>
        <v>42.99174666544571</v>
      </c>
      <c r="G97" s="11">
        <f t="shared" si="7"/>
        <v>32.716749694735839</v>
      </c>
      <c r="H97" s="12">
        <f t="shared" si="8"/>
        <v>0.76100070902752315</v>
      </c>
    </row>
    <row r="98" spans="1:8">
      <c r="A98" s="9">
        <v>2023</v>
      </c>
      <c r="B98" s="9" t="s">
        <v>139</v>
      </c>
      <c r="C98" s="10">
        <v>59102</v>
      </c>
      <c r="D98" s="11">
        <v>4973341.47</v>
      </c>
      <c r="E98" s="11">
        <v>3861148.45</v>
      </c>
      <c r="F98" s="11">
        <f t="shared" si="6"/>
        <v>84.14844624547392</v>
      </c>
      <c r="G98" s="11">
        <f t="shared" si="7"/>
        <v>65.330250245338576</v>
      </c>
      <c r="H98" s="12">
        <f t="shared" si="8"/>
        <v>0.7763690615838611</v>
      </c>
    </row>
    <row r="99" spans="1:8">
      <c r="A99" s="9">
        <v>2023</v>
      </c>
      <c r="B99" s="9" t="s">
        <v>140</v>
      </c>
      <c r="C99" s="10">
        <v>93333</v>
      </c>
      <c r="D99" s="11">
        <v>22133769.870000001</v>
      </c>
      <c r="E99" s="11">
        <v>17035432.75</v>
      </c>
      <c r="F99" s="11">
        <f t="shared" si="6"/>
        <v>237.14838127993315</v>
      </c>
      <c r="G99" s="11">
        <f t="shared" si="7"/>
        <v>182.52314561837721</v>
      </c>
      <c r="H99" s="12">
        <f t="shared" si="8"/>
        <v>0.76965798641874106</v>
      </c>
    </row>
    <row r="100" spans="1:8">
      <c r="A100" s="9">
        <v>2023</v>
      </c>
      <c r="B100" s="9" t="s">
        <v>141</v>
      </c>
      <c r="C100" s="10">
        <v>1930269253.9000001</v>
      </c>
      <c r="D100" s="11">
        <v>4468418471.5600004</v>
      </c>
      <c r="E100" s="11">
        <v>3526673807.5999999</v>
      </c>
      <c r="F100" s="11">
        <f t="shared" si="6"/>
        <v>2.3149197773998695</v>
      </c>
      <c r="G100" s="11">
        <f t="shared" si="7"/>
        <v>1.8270372387036444</v>
      </c>
      <c r="H100" s="12">
        <f t="shared" si="8"/>
        <v>0.78924429975529542</v>
      </c>
    </row>
    <row r="101" spans="1:8">
      <c r="A101" s="9">
        <v>2023</v>
      </c>
      <c r="B101" s="9" t="s">
        <v>142</v>
      </c>
      <c r="C101" s="10">
        <v>28195439.899999999</v>
      </c>
      <c r="D101" s="11">
        <v>1281523591.46</v>
      </c>
      <c r="E101" s="11">
        <v>978020407.00999999</v>
      </c>
      <c r="F101" s="11">
        <f t="shared" si="6"/>
        <v>45.451448745085905</v>
      </c>
      <c r="G101" s="11">
        <f t="shared" si="7"/>
        <v>34.687183831098871</v>
      </c>
      <c r="H101" s="12">
        <f t="shared" si="8"/>
        <v>0.76317003723339316</v>
      </c>
    </row>
    <row r="102" spans="1:8">
      <c r="A102" s="9">
        <v>2023</v>
      </c>
      <c r="B102" s="9" t="s">
        <v>143</v>
      </c>
      <c r="C102" s="10">
        <v>167289490.69999999</v>
      </c>
      <c r="D102" s="11">
        <v>4641430765.9300003</v>
      </c>
      <c r="E102" s="11">
        <v>3437771324.8600001</v>
      </c>
      <c r="F102" s="11">
        <f t="shared" si="6"/>
        <v>27.744903439591862</v>
      </c>
      <c r="G102" s="11">
        <f t="shared" si="7"/>
        <v>20.549834364819429</v>
      </c>
      <c r="H102" s="12">
        <f t="shared" si="8"/>
        <v>0.74067060314561783</v>
      </c>
    </row>
    <row r="103" spans="1:8">
      <c r="A103" s="9">
        <v>2023</v>
      </c>
      <c r="B103" s="9" t="s">
        <v>144</v>
      </c>
      <c r="C103" s="10">
        <v>81417351.799999997</v>
      </c>
      <c r="D103" s="11">
        <v>3943284096.9699998</v>
      </c>
      <c r="E103" s="11">
        <v>2886429331.3200002</v>
      </c>
      <c r="F103" s="11">
        <f t="shared" si="6"/>
        <v>48.432969260122753</v>
      </c>
      <c r="G103" s="11">
        <f t="shared" si="7"/>
        <v>35.452262539936854</v>
      </c>
      <c r="H103" s="12">
        <f t="shared" si="8"/>
        <v>0.73198614665829387</v>
      </c>
    </row>
    <row r="104" spans="1:8">
      <c r="A104" s="9">
        <v>2023</v>
      </c>
      <c r="B104" s="9" t="s">
        <v>145</v>
      </c>
      <c r="C104" s="10">
        <v>2058251.9</v>
      </c>
      <c r="D104" s="11">
        <v>428888238.23000002</v>
      </c>
      <c r="E104" s="11">
        <v>330555598.31999999</v>
      </c>
      <c r="F104" s="11">
        <f t="shared" si="6"/>
        <v>208.37499930402106</v>
      </c>
      <c r="G104" s="11">
        <f t="shared" si="7"/>
        <v>160.60016673372195</v>
      </c>
      <c r="H104" s="12">
        <f t="shared" si="8"/>
        <v>0.77072665756511805</v>
      </c>
    </row>
    <row r="105" spans="1:8">
      <c r="A105" s="9">
        <v>2023</v>
      </c>
      <c r="B105" s="9" t="s">
        <v>146</v>
      </c>
      <c r="C105" s="10">
        <v>33711774.700000003</v>
      </c>
      <c r="D105" s="11">
        <v>2919387417.8099999</v>
      </c>
      <c r="E105" s="11">
        <v>2180116560.4899998</v>
      </c>
      <c r="F105" s="11">
        <f t="shared" si="6"/>
        <v>86.598449467271735</v>
      </c>
      <c r="G105" s="11">
        <f t="shared" si="7"/>
        <v>64.669290771274632</v>
      </c>
      <c r="H105" s="12">
        <f t="shared" si="8"/>
        <v>0.74677192454485208</v>
      </c>
    </row>
    <row r="106" spans="1:8">
      <c r="A106" s="9">
        <v>2023</v>
      </c>
      <c r="B106" s="9" t="s">
        <v>147</v>
      </c>
      <c r="C106" s="10">
        <v>4960736</v>
      </c>
      <c r="D106" s="11">
        <v>265807176.50999999</v>
      </c>
      <c r="E106" s="11">
        <v>201998257.80000001</v>
      </c>
      <c r="F106" s="11">
        <f t="shared" si="6"/>
        <v>53.582205646500839</v>
      </c>
      <c r="G106" s="11">
        <f t="shared" si="7"/>
        <v>40.71941296614051</v>
      </c>
      <c r="H106" s="12">
        <f t="shared" si="8"/>
        <v>0.75994282943071922</v>
      </c>
    </row>
    <row r="107" spans="1:8">
      <c r="A107" s="9">
        <v>2023</v>
      </c>
      <c r="B107" s="9" t="s">
        <v>148</v>
      </c>
      <c r="C107" s="10">
        <v>332275</v>
      </c>
      <c r="D107" s="11">
        <v>18120121.98</v>
      </c>
      <c r="E107" s="11">
        <v>14024048.33</v>
      </c>
      <c r="F107" s="11">
        <f t="shared" si="6"/>
        <v>54.533509833722071</v>
      </c>
      <c r="G107" s="11">
        <f t="shared" si="7"/>
        <v>42.206149514709203</v>
      </c>
      <c r="H107" s="12">
        <f t="shared" si="8"/>
        <v>0.77394889203720474</v>
      </c>
    </row>
    <row r="108" spans="1:8">
      <c r="A108" s="9">
        <v>2023</v>
      </c>
      <c r="B108" s="9" t="s">
        <v>149</v>
      </c>
      <c r="C108" s="10">
        <v>9637063.1999999993</v>
      </c>
      <c r="D108" s="11">
        <v>900048347.46000004</v>
      </c>
      <c r="E108" s="11">
        <v>665740340.96000004</v>
      </c>
      <c r="F108" s="11">
        <f t="shared" si="6"/>
        <v>93.394463518720116</v>
      </c>
      <c r="G108" s="11">
        <f t="shared" si="7"/>
        <v>69.081246759905042</v>
      </c>
      <c r="H108" s="12">
        <f t="shared" si="8"/>
        <v>0.73967175523266748</v>
      </c>
    </row>
    <row r="109" spans="1:8">
      <c r="A109" s="9">
        <v>2023</v>
      </c>
      <c r="B109" s="9" t="s">
        <v>150</v>
      </c>
      <c r="C109" s="10">
        <v>101969</v>
      </c>
      <c r="D109" s="11">
        <v>12527114.359999999</v>
      </c>
      <c r="E109" s="11">
        <v>9537081.4399999995</v>
      </c>
      <c r="F109" s="11">
        <f t="shared" si="6"/>
        <v>122.85218409516617</v>
      </c>
      <c r="G109" s="11">
        <f t="shared" si="7"/>
        <v>93.529223979836999</v>
      </c>
      <c r="H109" s="12">
        <f t="shared" si="8"/>
        <v>0.76131510944392788</v>
      </c>
    </row>
    <row r="110" spans="1:8">
      <c r="A110" s="9">
        <v>2023</v>
      </c>
      <c r="B110" s="9" t="s">
        <v>151</v>
      </c>
      <c r="C110" s="10">
        <v>124876.2</v>
      </c>
      <c r="D110" s="11">
        <v>7705576.3899999997</v>
      </c>
      <c r="E110" s="11">
        <v>7539684.3899999997</v>
      </c>
      <c r="F110" s="11">
        <f t="shared" si="6"/>
        <v>61.705724469514607</v>
      </c>
      <c r="G110" s="11">
        <f t="shared" si="7"/>
        <v>60.377272770952352</v>
      </c>
      <c r="H110" s="12">
        <f t="shared" si="8"/>
        <v>0.97847117572991837</v>
      </c>
    </row>
    <row r="111" spans="1:8">
      <c r="A111" s="9">
        <v>2023</v>
      </c>
      <c r="B111" s="9" t="s">
        <v>152</v>
      </c>
      <c r="C111" s="10">
        <v>16628176.9</v>
      </c>
      <c r="D111" s="11">
        <v>1418487266.78</v>
      </c>
      <c r="E111" s="11">
        <v>1077610985.6900001</v>
      </c>
      <c r="F111" s="11">
        <f t="shared" si="6"/>
        <v>85.306241045583292</v>
      </c>
      <c r="G111" s="11">
        <f t="shared" si="7"/>
        <v>64.806321954032143</v>
      </c>
      <c r="H111" s="12">
        <f t="shared" si="8"/>
        <v>0.75969027775356968</v>
      </c>
    </row>
    <row r="112" spans="1:8">
      <c r="A112" s="9">
        <v>2023</v>
      </c>
      <c r="B112" s="9" t="s">
        <v>153</v>
      </c>
      <c r="C112" s="10">
        <v>14580859.699999999</v>
      </c>
      <c r="D112" s="11">
        <v>1872520349.5999999</v>
      </c>
      <c r="E112" s="11">
        <v>1458489214.5899999</v>
      </c>
      <c r="F112" s="11">
        <f t="shared" si="6"/>
        <v>128.42317861408407</v>
      </c>
      <c r="G112" s="11">
        <f t="shared" si="7"/>
        <v>100.02765574858388</v>
      </c>
      <c r="H112" s="12">
        <f t="shared" si="8"/>
        <v>0.77889098236051557</v>
      </c>
    </row>
    <row r="113" spans="1:8">
      <c r="A113" s="9">
        <v>2023</v>
      </c>
      <c r="B113" s="9" t="s">
        <v>154</v>
      </c>
      <c r="C113" s="10">
        <v>140544</v>
      </c>
      <c r="D113" s="11">
        <v>34794463.329999998</v>
      </c>
      <c r="E113" s="11">
        <v>27111071.52</v>
      </c>
      <c r="F113" s="11">
        <f t="shared" si="6"/>
        <v>247.56989505066028</v>
      </c>
      <c r="G113" s="11">
        <f t="shared" si="7"/>
        <v>192.90095286885244</v>
      </c>
      <c r="H113" s="12">
        <f t="shared" si="8"/>
        <v>0.7791777462658741</v>
      </c>
    </row>
    <row r="114" spans="1:8">
      <c r="A114" s="9">
        <v>2023</v>
      </c>
      <c r="B114" s="9" t="s">
        <v>155</v>
      </c>
      <c r="C114" s="10">
        <v>524836</v>
      </c>
      <c r="D114" s="11">
        <v>16569849.18</v>
      </c>
      <c r="E114" s="11">
        <v>15195488.75</v>
      </c>
      <c r="F114" s="11">
        <f t="shared" si="6"/>
        <v>31.57147981464686</v>
      </c>
      <c r="G114" s="11">
        <f t="shared" si="7"/>
        <v>28.95283240860002</v>
      </c>
      <c r="H114" s="12">
        <f t="shared" si="8"/>
        <v>0.91705655162758704</v>
      </c>
    </row>
    <row r="115" spans="1:8">
      <c r="A115" s="9">
        <v>2023</v>
      </c>
      <c r="B115" s="9" t="s">
        <v>156</v>
      </c>
      <c r="C115" s="10">
        <v>98</v>
      </c>
      <c r="D115" s="11">
        <v>22636.86</v>
      </c>
      <c r="E115" s="11">
        <v>17517.46</v>
      </c>
      <c r="F115" s="11">
        <f t="shared" si="6"/>
        <v>230.98836734693879</v>
      </c>
      <c r="G115" s="11">
        <f t="shared" si="7"/>
        <v>178.74959183673468</v>
      </c>
      <c r="H115" s="12">
        <f t="shared" si="8"/>
        <v>0.77384672609186955</v>
      </c>
    </row>
    <row r="116" spans="1:8">
      <c r="A116" s="9">
        <v>2023</v>
      </c>
      <c r="B116" s="9" t="s">
        <v>157</v>
      </c>
      <c r="C116" s="10">
        <v>191213788.80000001</v>
      </c>
      <c r="D116" s="11">
        <v>3181229772.6100001</v>
      </c>
      <c r="E116" s="11">
        <v>2441377306.1799998</v>
      </c>
      <c r="F116" s="11">
        <f t="shared" si="6"/>
        <v>16.637031212939387</v>
      </c>
      <c r="G116" s="11">
        <f t="shared" si="7"/>
        <v>12.767788983740903</v>
      </c>
      <c r="H116" s="12">
        <f t="shared" si="8"/>
        <v>0.76743193063260007</v>
      </c>
    </row>
    <row r="117" spans="1:8">
      <c r="A117" s="9">
        <v>2023</v>
      </c>
      <c r="B117" s="9" t="s">
        <v>158</v>
      </c>
      <c r="C117" s="10">
        <v>534275.19999999995</v>
      </c>
      <c r="D117" s="11">
        <v>26360462.760000002</v>
      </c>
      <c r="E117" s="11">
        <v>20274486.59</v>
      </c>
      <c r="F117" s="11">
        <f t="shared" si="6"/>
        <v>49.338735468163229</v>
      </c>
      <c r="G117" s="11">
        <f t="shared" si="7"/>
        <v>37.947646811980043</v>
      </c>
      <c r="H117" s="12">
        <f t="shared" si="8"/>
        <v>0.76912483572803558</v>
      </c>
    </row>
    <row r="118" spans="1:8">
      <c r="A118" s="9">
        <v>2023</v>
      </c>
      <c r="B118" s="9" t="s">
        <v>159</v>
      </c>
      <c r="C118" s="10">
        <v>134787</v>
      </c>
      <c r="D118" s="11">
        <v>189077.09</v>
      </c>
      <c r="E118" s="11">
        <v>146604.23000000001</v>
      </c>
      <c r="F118" s="11">
        <f t="shared" si="6"/>
        <v>1.4027843189625111</v>
      </c>
      <c r="G118" s="11">
        <f t="shared" si="7"/>
        <v>1.0876733661258133</v>
      </c>
      <c r="H118" s="12">
        <f t="shared" si="8"/>
        <v>0.77536749692942708</v>
      </c>
    </row>
    <row r="119" spans="1:8">
      <c r="A119" s="9">
        <v>2023</v>
      </c>
      <c r="B119" s="9" t="s">
        <v>160</v>
      </c>
      <c r="C119" s="10">
        <v>670096</v>
      </c>
      <c r="D119" s="11">
        <v>70486384.409999996</v>
      </c>
      <c r="E119" s="11">
        <v>52047925.75</v>
      </c>
      <c r="F119" s="11">
        <f t="shared" si="6"/>
        <v>105.18848703767817</v>
      </c>
      <c r="G119" s="11">
        <f t="shared" si="7"/>
        <v>77.672342097251743</v>
      </c>
      <c r="H119" s="12">
        <f t="shared" si="8"/>
        <v>0.73841105889687109</v>
      </c>
    </row>
    <row r="120" spans="1:8">
      <c r="A120" s="9">
        <v>2023</v>
      </c>
      <c r="B120" s="9" t="s">
        <v>161</v>
      </c>
      <c r="C120" s="10">
        <v>46855</v>
      </c>
      <c r="D120" s="11">
        <v>2050841.65</v>
      </c>
      <c r="E120" s="11">
        <v>1552298.52</v>
      </c>
      <c r="F120" s="11">
        <f t="shared" si="6"/>
        <v>43.769963717852946</v>
      </c>
      <c r="G120" s="11">
        <f t="shared" si="7"/>
        <v>33.129837157187069</v>
      </c>
      <c r="H120" s="12">
        <f t="shared" si="8"/>
        <v>0.75690803334328616</v>
      </c>
    </row>
    <row r="121" spans="1:8">
      <c r="A121" s="9">
        <v>2023</v>
      </c>
      <c r="B121" s="9" t="s">
        <v>162</v>
      </c>
      <c r="C121" s="10"/>
      <c r="D121" s="11"/>
      <c r="E121" s="11"/>
      <c r="F121" s="11">
        <f t="shared" si="6"/>
        <v>0</v>
      </c>
      <c r="G121" s="11">
        <f t="shared" si="7"/>
        <v>0</v>
      </c>
      <c r="H121" s="12">
        <f t="shared" si="8"/>
        <v>0</v>
      </c>
    </row>
    <row r="122" spans="1:8">
      <c r="A122" s="9">
        <v>2023</v>
      </c>
      <c r="B122" s="9" t="s">
        <v>163</v>
      </c>
      <c r="C122" s="10">
        <v>1770960</v>
      </c>
      <c r="D122" s="11">
        <v>107379722.31999999</v>
      </c>
      <c r="E122" s="11">
        <v>82855134.480000004</v>
      </c>
      <c r="F122" s="11">
        <f t="shared" si="6"/>
        <v>60.633623752089257</v>
      </c>
      <c r="G122" s="11">
        <f t="shared" si="7"/>
        <v>46.7854352893346</v>
      </c>
      <c r="H122" s="12">
        <f t="shared" si="8"/>
        <v>0.77160876085230701</v>
      </c>
    </row>
    <row r="123" spans="1:8">
      <c r="A123" s="9">
        <v>2023</v>
      </c>
      <c r="B123" s="9" t="s">
        <v>164</v>
      </c>
      <c r="C123" s="10">
        <v>5205668.5</v>
      </c>
      <c r="D123" s="11">
        <v>207360112.69</v>
      </c>
      <c r="E123" s="11">
        <v>153544923.53999999</v>
      </c>
      <c r="F123" s="11">
        <f t="shared" si="6"/>
        <v>39.833522378537936</v>
      </c>
      <c r="G123" s="11">
        <f t="shared" si="7"/>
        <v>29.495716744160713</v>
      </c>
      <c r="H123" s="12">
        <f t="shared" si="8"/>
        <v>0.74047473040076495</v>
      </c>
    </row>
    <row r="124" spans="1:8">
      <c r="A124" s="9">
        <v>2023</v>
      </c>
      <c r="B124" s="9" t="s">
        <v>165</v>
      </c>
      <c r="C124" s="10">
        <v>563367</v>
      </c>
      <c r="D124" s="11">
        <v>94844507.609999999</v>
      </c>
      <c r="E124" s="11">
        <v>72890807.620000005</v>
      </c>
      <c r="F124" s="11">
        <f t="shared" si="6"/>
        <v>168.35296992901607</v>
      </c>
      <c r="G124" s="11">
        <f t="shared" si="7"/>
        <v>129.38423375881086</v>
      </c>
      <c r="H124" s="12">
        <f t="shared" si="8"/>
        <v>0.76852955913616561</v>
      </c>
    </row>
    <row r="125" spans="1:8">
      <c r="A125" s="9">
        <v>2023</v>
      </c>
      <c r="B125" s="9" t="s">
        <v>166</v>
      </c>
      <c r="C125" s="10">
        <v>890319.1</v>
      </c>
      <c r="D125" s="11">
        <v>314423509.92000002</v>
      </c>
      <c r="E125" s="11">
        <v>244956604.5</v>
      </c>
      <c r="F125" s="11">
        <f t="shared" si="6"/>
        <v>353.15822149609056</v>
      </c>
      <c r="G125" s="11">
        <f t="shared" si="7"/>
        <v>275.1334937102888</v>
      </c>
      <c r="H125" s="12">
        <f t="shared" si="8"/>
        <v>0.7790658038335786</v>
      </c>
    </row>
    <row r="126" spans="1:8">
      <c r="A126" s="9">
        <v>2023</v>
      </c>
      <c r="B126" s="9" t="s">
        <v>167</v>
      </c>
      <c r="C126" s="10">
        <v>260826</v>
      </c>
      <c r="D126" s="11">
        <v>28470636.050000001</v>
      </c>
      <c r="E126" s="11">
        <v>22138806.940000001</v>
      </c>
      <c r="F126" s="11">
        <f t="shared" si="6"/>
        <v>109.15566718808708</v>
      </c>
      <c r="G126" s="11">
        <f t="shared" si="7"/>
        <v>84.879601496783295</v>
      </c>
      <c r="H126" s="12">
        <f t="shared" si="8"/>
        <v>0.77760141716257869</v>
      </c>
    </row>
    <row r="127" spans="1:8">
      <c r="A127" s="9">
        <v>2023</v>
      </c>
      <c r="B127" s="9" t="s">
        <v>168</v>
      </c>
      <c r="C127" s="10">
        <v>694917</v>
      </c>
      <c r="D127" s="11">
        <v>57410266.030000001</v>
      </c>
      <c r="E127" s="11">
        <v>44163177.359999999</v>
      </c>
      <c r="F127" s="11">
        <f t="shared" si="6"/>
        <v>82.614565523652473</v>
      </c>
      <c r="G127" s="11">
        <f t="shared" si="7"/>
        <v>63.55172971736193</v>
      </c>
      <c r="H127" s="12">
        <f t="shared" si="8"/>
        <v>0.76925575187062056</v>
      </c>
    </row>
    <row r="128" spans="1:8">
      <c r="A128" s="9">
        <v>2023</v>
      </c>
      <c r="B128" s="9" t="s">
        <v>169</v>
      </c>
      <c r="C128" s="10">
        <v>8120</v>
      </c>
      <c r="D128" s="11">
        <v>394096.03</v>
      </c>
      <c r="E128" s="11">
        <v>285154.84999999998</v>
      </c>
      <c r="F128" s="11">
        <f t="shared" si="6"/>
        <v>48.533993842364538</v>
      </c>
      <c r="G128" s="11">
        <f t="shared" si="7"/>
        <v>35.117592364532015</v>
      </c>
      <c r="H128" s="12">
        <f t="shared" si="8"/>
        <v>0.72356691844878507</v>
      </c>
    </row>
    <row r="129" spans="1:8">
      <c r="A129" s="9">
        <v>2023</v>
      </c>
      <c r="B129" s="9" t="s">
        <v>170</v>
      </c>
      <c r="C129" s="10">
        <v>63818131.5</v>
      </c>
      <c r="D129" s="11">
        <v>2112581593.79</v>
      </c>
      <c r="E129" s="11">
        <v>1588788043.2</v>
      </c>
      <c r="F129" s="11">
        <f t="shared" si="6"/>
        <v>33.103156487588485</v>
      </c>
      <c r="G129" s="11">
        <f t="shared" si="7"/>
        <v>24.895558767652105</v>
      </c>
      <c r="H129" s="12">
        <f t="shared" si="8"/>
        <v>0.75205996675834552</v>
      </c>
    </row>
    <row r="130" spans="1:8">
      <c r="A130" s="9">
        <v>2023</v>
      </c>
      <c r="B130" s="9" t="s">
        <v>171</v>
      </c>
      <c r="C130" s="10">
        <v>6690222.2000000002</v>
      </c>
      <c r="D130" s="11">
        <v>1084093000.6600001</v>
      </c>
      <c r="E130" s="11">
        <v>835555850.5</v>
      </c>
      <c r="F130" s="11">
        <f t="shared" si="6"/>
        <v>162.04140434378996</v>
      </c>
      <c r="G130" s="11">
        <f t="shared" si="7"/>
        <v>124.89209259746261</v>
      </c>
      <c r="H130" s="12">
        <f t="shared" si="8"/>
        <v>0.77074185516492622</v>
      </c>
    </row>
  </sheetData>
  <conditionalFormatting sqref="E2:E130">
    <cfRule type="dataBar" priority="7">
      <dataBar>
        <cfvo type="min"/>
        <cfvo type="max"/>
        <color rgb="FF2A7F89"/>
      </dataBar>
    </cfRule>
    <cfRule type="dataBar" priority="8">
      <dataBar>
        <cfvo type="min"/>
        <cfvo type="max"/>
        <color rgb="FF2A7F89"/>
      </dataBar>
      <extLst>
        <ext xmlns:x14="http://schemas.microsoft.com/office/spreadsheetml/2009/9/main" uri="{B025F937-C7B1-47D3-B67F-A62EFF666E3E}">
          <x14:id>{6DEE575D-554E-4CC5-80A5-9C7611CD197F}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DEE575D-554E-4CC5-80A5-9C7611CD197F}">
            <x14:dataBar>
              <x14:cfvo type="min"/>
              <x14:cfvo type="max"/>
              <x14:negativeFillColor auto="1"/>
              <x14:axisColor auto="1"/>
            </x14:dataBar>
          </x14:cfRule>
          <xm:sqref>E2:E130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62A30-AAF8-431A-876F-AEA3C3EF94C3}">
  <dimension ref="A1:H136"/>
  <sheetViews>
    <sheetView tabSelected="1" workbookViewId="0">
      <selection activeCell="B10" sqref="B10"/>
    </sheetView>
  </sheetViews>
  <sheetFormatPr defaultRowHeight="13.8"/>
  <cols>
    <col min="1" max="1" width="9" customWidth="1"/>
    <col min="2" max="2" width="40" customWidth="1"/>
    <col min="3" max="7" width="18" customWidth="1"/>
    <col min="8" max="8" width="14" customWidth="1"/>
  </cols>
  <sheetData>
    <row r="1" spans="1:8" ht="24" customHeight="1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</row>
    <row r="2" spans="1:8">
      <c r="A2" s="9">
        <v>2024</v>
      </c>
      <c r="B2" s="9" t="s">
        <v>46</v>
      </c>
      <c r="C2" s="10">
        <v>131395</v>
      </c>
      <c r="D2" s="11">
        <v>9156408.1999999993</v>
      </c>
      <c r="E2" s="11">
        <v>6860921.1100000003</v>
      </c>
      <c r="F2" s="11">
        <f t="shared" ref="F2" si="0">IFERROR(D2/C2,0)</f>
        <v>69.686123520681903</v>
      </c>
      <c r="G2" s="11">
        <f t="shared" ref="G2" si="1">IFERROR(E2/C2,0)</f>
        <v>52.215998401765674</v>
      </c>
      <c r="H2" s="12">
        <f t="shared" ref="H2" si="2">IFERROR(E2/D2,0)</f>
        <v>0.74930266979578308</v>
      </c>
    </row>
    <row r="3" spans="1:8">
      <c r="A3" s="9">
        <v>2024</v>
      </c>
      <c r="B3" s="9" t="s">
        <v>47</v>
      </c>
      <c r="C3" s="10">
        <v>36323</v>
      </c>
      <c r="D3" s="11">
        <v>3024968.83</v>
      </c>
      <c r="E3" s="11">
        <v>2284154.7000000002</v>
      </c>
      <c r="F3" s="11">
        <f t="shared" ref="F3:F66" si="3">IFERROR(D3/C3,0)</f>
        <v>83.27970789857666</v>
      </c>
      <c r="G3" s="11">
        <f t="shared" ref="G3:G66" si="4">IFERROR(E3/C3,0)</f>
        <v>62.884527709715613</v>
      </c>
      <c r="H3" s="12">
        <f t="shared" ref="H3:H66" si="5">IFERROR(E3/D3,0)</f>
        <v>0.75510024346267401</v>
      </c>
    </row>
    <row r="4" spans="1:8">
      <c r="A4" s="9">
        <v>2024</v>
      </c>
      <c r="B4" s="9" t="s">
        <v>48</v>
      </c>
      <c r="C4" s="10">
        <v>1172159</v>
      </c>
      <c r="D4" s="11">
        <v>91031318.530000001</v>
      </c>
      <c r="E4" s="11">
        <v>68811603.219999999</v>
      </c>
      <c r="F4" s="11">
        <f t="shared" si="3"/>
        <v>77.661237536887057</v>
      </c>
      <c r="G4" s="11">
        <f t="shared" si="4"/>
        <v>58.705007784780051</v>
      </c>
      <c r="H4" s="12">
        <f t="shared" si="5"/>
        <v>0.75591130976887544</v>
      </c>
    </row>
    <row r="5" spans="1:8">
      <c r="A5" s="9">
        <v>2024</v>
      </c>
      <c r="B5" s="9" t="s">
        <v>49</v>
      </c>
      <c r="C5" s="10">
        <v>6340283.5999999996</v>
      </c>
      <c r="D5" s="11">
        <v>99356843.510000005</v>
      </c>
      <c r="E5" s="11">
        <v>77728356.200000003</v>
      </c>
      <c r="F5" s="11">
        <f t="shared" si="3"/>
        <v>15.670725440420364</v>
      </c>
      <c r="G5" s="11">
        <f t="shared" si="4"/>
        <v>12.259444703703791</v>
      </c>
      <c r="H5" s="12">
        <f t="shared" si="5"/>
        <v>0.78231507215883778</v>
      </c>
    </row>
    <row r="6" spans="1:8">
      <c r="A6" s="9">
        <v>2024</v>
      </c>
      <c r="B6" s="9" t="s">
        <v>50</v>
      </c>
      <c r="C6" s="10">
        <v>25557978.100000001</v>
      </c>
      <c r="D6" s="11">
        <v>609626955.88</v>
      </c>
      <c r="E6" s="11">
        <v>461897794.63</v>
      </c>
      <c r="F6" s="11">
        <f t="shared" si="3"/>
        <v>23.852706716264066</v>
      </c>
      <c r="G6" s="11">
        <f t="shared" si="4"/>
        <v>18.072548337851497</v>
      </c>
      <c r="H6" s="12">
        <f t="shared" si="5"/>
        <v>0.75767285251231697</v>
      </c>
    </row>
    <row r="7" spans="1:8">
      <c r="A7" s="9">
        <v>2024</v>
      </c>
      <c r="B7" s="9" t="s">
        <v>51</v>
      </c>
      <c r="C7" s="10">
        <v>115769629.7</v>
      </c>
      <c r="D7" s="11">
        <v>5745448928.2200003</v>
      </c>
      <c r="E7" s="11">
        <v>4467908176.3400002</v>
      </c>
      <c r="F7" s="11">
        <f t="shared" si="3"/>
        <v>49.628291488091371</v>
      </c>
      <c r="G7" s="11">
        <f t="shared" si="4"/>
        <v>38.593093783904536</v>
      </c>
      <c r="H7" s="12">
        <f t="shared" si="5"/>
        <v>0.77764300617048643</v>
      </c>
    </row>
    <row r="8" spans="1:8">
      <c r="A8" s="9">
        <v>2024</v>
      </c>
      <c r="B8" s="9" t="s">
        <v>52</v>
      </c>
      <c r="C8" s="10">
        <v>49956849.100000001</v>
      </c>
      <c r="D8" s="11">
        <v>7707600311.1099997</v>
      </c>
      <c r="E8" s="11">
        <v>6011645667.21</v>
      </c>
      <c r="F8" s="11">
        <f t="shared" si="3"/>
        <v>154.28515708990139</v>
      </c>
      <c r="G8" s="11">
        <f t="shared" si="4"/>
        <v>120.33676613944013</v>
      </c>
      <c r="H8" s="12">
        <f t="shared" si="5"/>
        <v>0.77996333807613349</v>
      </c>
    </row>
    <row r="9" spans="1:8">
      <c r="A9" s="9">
        <v>2024</v>
      </c>
      <c r="B9" s="9" t="s">
        <v>53</v>
      </c>
      <c r="C9" s="10">
        <v>379362</v>
      </c>
      <c r="D9" s="11">
        <v>44955873</v>
      </c>
      <c r="E9" s="11">
        <v>34832601.899999999</v>
      </c>
      <c r="F9" s="11">
        <f t="shared" si="3"/>
        <v>118.50389074287884</v>
      </c>
      <c r="G9" s="11">
        <f t="shared" si="4"/>
        <v>91.818900944216864</v>
      </c>
      <c r="H9" s="12">
        <f t="shared" si="5"/>
        <v>0.77481760614458539</v>
      </c>
    </row>
    <row r="10" spans="1:8">
      <c r="A10" s="9">
        <v>2024</v>
      </c>
      <c r="B10" s="9" t="s">
        <v>54</v>
      </c>
      <c r="C10" s="10">
        <v>20610232.399999999</v>
      </c>
      <c r="D10" s="11">
        <v>1757079597.48</v>
      </c>
      <c r="E10" s="11">
        <v>1361362733.4100001</v>
      </c>
      <c r="F10" s="11">
        <f t="shared" si="3"/>
        <v>85.252779463078738</v>
      </c>
      <c r="G10" s="11">
        <f t="shared" si="4"/>
        <v>66.052759958689265</v>
      </c>
      <c r="H10" s="12">
        <f t="shared" si="5"/>
        <v>0.77478717262579555</v>
      </c>
    </row>
    <row r="11" spans="1:8">
      <c r="A11" s="9">
        <v>2024</v>
      </c>
      <c r="B11" s="9" t="s">
        <v>55</v>
      </c>
      <c r="C11" s="10">
        <v>2435484</v>
      </c>
      <c r="D11" s="11">
        <v>79169986.340000004</v>
      </c>
      <c r="E11" s="11">
        <v>55644046.600000001</v>
      </c>
      <c r="F11" s="11">
        <f t="shared" si="3"/>
        <v>32.506880086258008</v>
      </c>
      <c r="G11" s="11">
        <f t="shared" si="4"/>
        <v>22.847223221339167</v>
      </c>
      <c r="H11" s="12">
        <f t="shared" si="5"/>
        <v>0.70284269547595324</v>
      </c>
    </row>
    <row r="12" spans="1:8">
      <c r="A12" s="9">
        <v>2024</v>
      </c>
      <c r="B12" s="9" t="s">
        <v>56</v>
      </c>
      <c r="C12" s="10">
        <v>9482198</v>
      </c>
      <c r="D12" s="11">
        <v>779260454.50999999</v>
      </c>
      <c r="E12" s="11">
        <v>587473697.79999995</v>
      </c>
      <c r="F12" s="11">
        <f t="shared" si="3"/>
        <v>82.181415586344002</v>
      </c>
      <c r="G12" s="11">
        <f t="shared" si="4"/>
        <v>61.955434573291967</v>
      </c>
      <c r="H12" s="12">
        <f t="shared" si="5"/>
        <v>0.75388619350561581</v>
      </c>
    </row>
    <row r="13" spans="1:8">
      <c r="A13" s="9">
        <v>2024</v>
      </c>
      <c r="B13" s="9" t="s">
        <v>57</v>
      </c>
      <c r="C13" s="10">
        <v>492615</v>
      </c>
      <c r="D13" s="11">
        <v>163231856.19999999</v>
      </c>
      <c r="E13" s="11">
        <v>127134337.69</v>
      </c>
      <c r="F13" s="11">
        <f t="shared" si="3"/>
        <v>331.35786811201444</v>
      </c>
      <c r="G13" s="11">
        <f t="shared" si="4"/>
        <v>258.08052473026601</v>
      </c>
      <c r="H13" s="12">
        <f t="shared" si="5"/>
        <v>0.77885739125718534</v>
      </c>
    </row>
    <row r="14" spans="1:8">
      <c r="A14" s="9">
        <v>2024</v>
      </c>
      <c r="B14" s="9" t="s">
        <v>58</v>
      </c>
      <c r="C14" s="10">
        <v>63181380</v>
      </c>
      <c r="D14" s="11">
        <v>4942820740.8900003</v>
      </c>
      <c r="E14" s="11">
        <v>3680131919.3299999</v>
      </c>
      <c r="F14" s="11">
        <f t="shared" si="3"/>
        <v>78.232237739821457</v>
      </c>
      <c r="G14" s="11">
        <f t="shared" si="4"/>
        <v>58.247096206667216</v>
      </c>
      <c r="H14" s="12">
        <f t="shared" si="5"/>
        <v>0.74454084261760189</v>
      </c>
    </row>
    <row r="15" spans="1:8">
      <c r="A15" s="9">
        <v>2024</v>
      </c>
      <c r="B15" s="9" t="s">
        <v>59</v>
      </c>
      <c r="C15" s="10">
        <v>11382879</v>
      </c>
      <c r="D15" s="11">
        <v>917321531.90999997</v>
      </c>
      <c r="E15" s="11">
        <v>898972670.91999996</v>
      </c>
      <c r="F15" s="11">
        <f t="shared" si="3"/>
        <v>80.587831242869228</v>
      </c>
      <c r="G15" s="11">
        <f t="shared" si="4"/>
        <v>78.975861108600029</v>
      </c>
      <c r="H15" s="12">
        <f t="shared" si="5"/>
        <v>0.9799973505998546</v>
      </c>
    </row>
    <row r="16" spans="1:8">
      <c r="A16" s="9">
        <v>2024</v>
      </c>
      <c r="B16" s="9" t="s">
        <v>60</v>
      </c>
      <c r="C16" s="10">
        <v>1216045.3999999999</v>
      </c>
      <c r="D16" s="11">
        <v>63833582.280000001</v>
      </c>
      <c r="E16" s="11">
        <v>47306091.950000003</v>
      </c>
      <c r="F16" s="11">
        <f t="shared" si="3"/>
        <v>52.492762424823944</v>
      </c>
      <c r="G16" s="11">
        <f t="shared" si="4"/>
        <v>38.901583731988957</v>
      </c>
      <c r="H16" s="12">
        <f t="shared" si="5"/>
        <v>0.74108471215819105</v>
      </c>
    </row>
    <row r="17" spans="1:8">
      <c r="A17" s="9">
        <v>2024</v>
      </c>
      <c r="B17" s="9" t="s">
        <v>61</v>
      </c>
      <c r="C17" s="10">
        <v>100287</v>
      </c>
      <c r="D17" s="11">
        <v>6144462.6299999999</v>
      </c>
      <c r="E17" s="11">
        <v>4582801.24</v>
      </c>
      <c r="F17" s="11">
        <f t="shared" si="3"/>
        <v>61.268784887373236</v>
      </c>
      <c r="G17" s="11">
        <f t="shared" si="4"/>
        <v>45.696862404897942</v>
      </c>
      <c r="H17" s="12">
        <f t="shared" si="5"/>
        <v>0.74584247898664502</v>
      </c>
    </row>
    <row r="18" spans="1:8">
      <c r="A18" s="9">
        <v>2024</v>
      </c>
      <c r="B18" s="9" t="s">
        <v>62</v>
      </c>
      <c r="C18" s="10">
        <v>7512008.2000000002</v>
      </c>
      <c r="D18" s="11">
        <v>1029128838.27</v>
      </c>
      <c r="E18" s="11">
        <v>804035435.70000005</v>
      </c>
      <c r="F18" s="11">
        <f t="shared" si="3"/>
        <v>136.99783212031105</v>
      </c>
      <c r="G18" s="11">
        <f t="shared" si="4"/>
        <v>107.03335436987409</v>
      </c>
      <c r="H18" s="12">
        <f t="shared" si="5"/>
        <v>0.78127772325534139</v>
      </c>
    </row>
    <row r="19" spans="1:8">
      <c r="A19" s="9">
        <v>2024</v>
      </c>
      <c r="B19" s="9" t="s">
        <v>63</v>
      </c>
      <c r="C19" s="10">
        <v>17546810.100000001</v>
      </c>
      <c r="D19" s="11">
        <v>648527217.37</v>
      </c>
      <c r="E19" s="11">
        <v>451953996.67000002</v>
      </c>
      <c r="F19" s="11">
        <f t="shared" si="3"/>
        <v>36.959835643858703</v>
      </c>
      <c r="G19" s="11">
        <f t="shared" si="4"/>
        <v>25.757046100932044</v>
      </c>
      <c r="H19" s="12">
        <f t="shared" si="5"/>
        <v>0.69689287444685555</v>
      </c>
    </row>
    <row r="20" spans="1:8">
      <c r="A20" s="9">
        <v>2024</v>
      </c>
      <c r="B20" s="9" t="s">
        <v>64</v>
      </c>
      <c r="C20" s="10">
        <v>304891041.39999998</v>
      </c>
      <c r="D20" s="11">
        <v>7208301471.1800003</v>
      </c>
      <c r="E20" s="11">
        <v>6898850380.6000004</v>
      </c>
      <c r="F20" s="11">
        <f t="shared" si="3"/>
        <v>23.642221293485342</v>
      </c>
      <c r="G20" s="11">
        <f t="shared" si="4"/>
        <v>22.627264969550531</v>
      </c>
      <c r="H20" s="12">
        <f t="shared" si="5"/>
        <v>0.95707017917920922</v>
      </c>
    </row>
    <row r="21" spans="1:8">
      <c r="A21" s="9">
        <v>2024</v>
      </c>
      <c r="B21" s="9" t="s">
        <v>65</v>
      </c>
      <c r="C21" s="10">
        <v>6908917.5</v>
      </c>
      <c r="D21" s="11">
        <v>725070153.63999999</v>
      </c>
      <c r="E21" s="11">
        <v>551264087.03999996</v>
      </c>
      <c r="F21" s="11">
        <f t="shared" si="3"/>
        <v>104.94699837420261</v>
      </c>
      <c r="G21" s="11">
        <f t="shared" si="4"/>
        <v>79.7902257538898</v>
      </c>
      <c r="H21" s="12">
        <f t="shared" si="5"/>
        <v>0.76029068949058498</v>
      </c>
    </row>
    <row r="22" spans="1:8">
      <c r="A22" s="9">
        <v>2024</v>
      </c>
      <c r="B22" s="9" t="s">
        <v>66</v>
      </c>
      <c r="C22" s="10">
        <v>784269</v>
      </c>
      <c r="D22" s="11">
        <v>160038977.02000001</v>
      </c>
      <c r="E22" s="11">
        <v>122967885.86</v>
      </c>
      <c r="F22" s="11">
        <f t="shared" si="3"/>
        <v>204.0613322979743</v>
      </c>
      <c r="G22" s="11">
        <f t="shared" si="4"/>
        <v>156.79299559207362</v>
      </c>
      <c r="H22" s="12">
        <f t="shared" si="5"/>
        <v>0.76836210871700805</v>
      </c>
    </row>
    <row r="23" spans="1:8">
      <c r="A23" s="9">
        <v>2024</v>
      </c>
      <c r="B23" s="9" t="s">
        <v>67</v>
      </c>
      <c r="C23" s="10">
        <v>2945906.5</v>
      </c>
      <c r="D23" s="11">
        <v>356967291.11000001</v>
      </c>
      <c r="E23" s="11">
        <v>275695221.05000001</v>
      </c>
      <c r="F23" s="11">
        <f t="shared" si="3"/>
        <v>121.17400572964553</v>
      </c>
      <c r="G23" s="11">
        <f t="shared" si="4"/>
        <v>93.585869425930525</v>
      </c>
      <c r="H23" s="12">
        <f t="shared" si="5"/>
        <v>0.77232628287235461</v>
      </c>
    </row>
    <row r="24" spans="1:8">
      <c r="A24" s="9">
        <v>2024</v>
      </c>
      <c r="B24" s="9" t="s">
        <v>172</v>
      </c>
      <c r="C24" s="10">
        <v>161</v>
      </c>
      <c r="D24" s="11">
        <v>15630.04</v>
      </c>
      <c r="E24" s="11">
        <v>12359.12</v>
      </c>
      <c r="F24" s="11">
        <f t="shared" si="3"/>
        <v>97.080993788819882</v>
      </c>
      <c r="G24" s="11">
        <f t="shared" si="4"/>
        <v>76.764720496894412</v>
      </c>
      <c r="H24" s="12">
        <f t="shared" si="5"/>
        <v>0.79072862257550203</v>
      </c>
    </row>
    <row r="25" spans="1:8">
      <c r="A25" s="9">
        <v>2024</v>
      </c>
      <c r="B25" s="9" t="s">
        <v>68</v>
      </c>
      <c r="C25" s="10">
        <v>50842</v>
      </c>
      <c r="D25" s="11">
        <v>6506576.1100000003</v>
      </c>
      <c r="E25" s="11">
        <v>4926362.45</v>
      </c>
      <c r="F25" s="11">
        <f t="shared" si="3"/>
        <v>127.97639963022698</v>
      </c>
      <c r="G25" s="11">
        <f t="shared" si="4"/>
        <v>96.895528303371236</v>
      </c>
      <c r="H25" s="12">
        <f t="shared" si="5"/>
        <v>0.75713591399148328</v>
      </c>
    </row>
    <row r="26" spans="1:8">
      <c r="A26" s="9">
        <v>2024</v>
      </c>
      <c r="B26" s="9" t="s">
        <v>69</v>
      </c>
      <c r="C26" s="10">
        <v>9325</v>
      </c>
      <c r="D26" s="11">
        <v>933033.81</v>
      </c>
      <c r="E26" s="11">
        <v>709619.34</v>
      </c>
      <c r="F26" s="11">
        <f t="shared" si="3"/>
        <v>100.05724504021448</v>
      </c>
      <c r="G26" s="11">
        <f t="shared" si="4"/>
        <v>76.098588739946379</v>
      </c>
      <c r="H26" s="12">
        <f t="shared" si="5"/>
        <v>0.76055050995418905</v>
      </c>
    </row>
    <row r="27" spans="1:8">
      <c r="A27" s="9">
        <v>2024</v>
      </c>
      <c r="B27" s="9" t="s">
        <v>70</v>
      </c>
      <c r="C27" s="10">
        <v>52945670.399999999</v>
      </c>
      <c r="D27" s="11">
        <v>4409047851.5900002</v>
      </c>
      <c r="E27" s="11">
        <v>3271782000.4899998</v>
      </c>
      <c r="F27" s="11">
        <f t="shared" si="3"/>
        <v>83.274946152915277</v>
      </c>
      <c r="G27" s="11">
        <f t="shared" si="4"/>
        <v>61.79508117985791</v>
      </c>
      <c r="H27" s="12">
        <f t="shared" si="5"/>
        <v>0.74206089627948191</v>
      </c>
    </row>
    <row r="28" spans="1:8">
      <c r="A28" s="9">
        <v>2024</v>
      </c>
      <c r="B28" s="9" t="s">
        <v>71</v>
      </c>
      <c r="C28" s="10">
        <v>218068704</v>
      </c>
      <c r="D28" s="11">
        <v>5291213005.9499998</v>
      </c>
      <c r="E28" s="11">
        <v>4094138607.5300002</v>
      </c>
      <c r="F28" s="11">
        <f t="shared" si="3"/>
        <v>24.263972357766658</v>
      </c>
      <c r="G28" s="11">
        <f t="shared" si="4"/>
        <v>18.774535421322998</v>
      </c>
      <c r="H28" s="12">
        <f t="shared" si="5"/>
        <v>0.77376182038525332</v>
      </c>
    </row>
    <row r="29" spans="1:8">
      <c r="A29" s="9">
        <v>2024</v>
      </c>
      <c r="B29" s="9" t="s">
        <v>72</v>
      </c>
      <c r="C29" s="10">
        <v>24987294.699999999</v>
      </c>
      <c r="D29" s="11">
        <v>2656145783.8899999</v>
      </c>
      <c r="E29" s="11">
        <v>2019881389.72</v>
      </c>
      <c r="F29" s="11">
        <f t="shared" si="3"/>
        <v>106.29985421711139</v>
      </c>
      <c r="G29" s="11">
        <f t="shared" si="4"/>
        <v>80.83633758559705</v>
      </c>
      <c r="H29" s="12">
        <f t="shared" si="5"/>
        <v>0.76045577090344307</v>
      </c>
    </row>
    <row r="30" spans="1:8">
      <c r="A30" s="9">
        <v>2024</v>
      </c>
      <c r="B30" s="9" t="s">
        <v>73</v>
      </c>
      <c r="C30" s="10">
        <v>20173191</v>
      </c>
      <c r="D30" s="11">
        <v>758761143.35000002</v>
      </c>
      <c r="E30" s="11">
        <v>561470426.21000004</v>
      </c>
      <c r="F30" s="11">
        <f t="shared" si="3"/>
        <v>37.612351132252705</v>
      </c>
      <c r="G30" s="11">
        <f t="shared" si="4"/>
        <v>27.832504347477801</v>
      </c>
      <c r="H30" s="12">
        <f t="shared" si="5"/>
        <v>0.73998310420991853</v>
      </c>
    </row>
    <row r="31" spans="1:8">
      <c r="A31" s="9">
        <v>2024</v>
      </c>
      <c r="B31" s="9" t="s">
        <v>175</v>
      </c>
      <c r="C31" s="10">
        <v>30603</v>
      </c>
      <c r="D31" s="11">
        <v>2844072.5</v>
      </c>
      <c r="E31" s="11">
        <v>2169428.44</v>
      </c>
      <c r="F31" s="11">
        <f t="shared" si="3"/>
        <v>92.934434532562165</v>
      </c>
      <c r="G31" s="11">
        <f t="shared" si="4"/>
        <v>70.889404306767304</v>
      </c>
      <c r="H31" s="12">
        <f t="shared" si="5"/>
        <v>0.76278942959435803</v>
      </c>
    </row>
    <row r="32" spans="1:8">
      <c r="A32" s="9">
        <v>2024</v>
      </c>
      <c r="B32" s="9" t="s">
        <v>74</v>
      </c>
      <c r="C32" s="10">
        <v>130041272.59999999</v>
      </c>
      <c r="D32" s="11">
        <v>7088676489.7600002</v>
      </c>
      <c r="E32" s="11">
        <v>5046018315.1599998</v>
      </c>
      <c r="F32" s="11">
        <f t="shared" si="3"/>
        <v>54.510974462426177</v>
      </c>
      <c r="G32" s="11">
        <f t="shared" si="4"/>
        <v>38.803206199629273</v>
      </c>
      <c r="H32" s="12">
        <f t="shared" si="5"/>
        <v>0.71184209385902475</v>
      </c>
    </row>
    <row r="33" spans="1:8">
      <c r="A33" s="9">
        <v>2024</v>
      </c>
      <c r="B33" s="9" t="s">
        <v>75</v>
      </c>
      <c r="C33" s="10">
        <v>28860708.5</v>
      </c>
      <c r="D33" s="11">
        <v>1740864128.4300001</v>
      </c>
      <c r="E33" s="11">
        <v>1339262376.05</v>
      </c>
      <c r="F33" s="11">
        <f t="shared" si="3"/>
        <v>60.319521554018678</v>
      </c>
      <c r="G33" s="11">
        <f t="shared" si="4"/>
        <v>46.404348529766686</v>
      </c>
      <c r="H33" s="12">
        <f t="shared" si="5"/>
        <v>0.76930896224383405</v>
      </c>
    </row>
    <row r="34" spans="1:8">
      <c r="A34" s="9">
        <v>2024</v>
      </c>
      <c r="B34" s="9" t="s">
        <v>76</v>
      </c>
      <c r="C34" s="10">
        <v>8038913.0999999996</v>
      </c>
      <c r="D34" s="11">
        <v>662585224.5</v>
      </c>
      <c r="E34" s="11">
        <v>501086355.47000003</v>
      </c>
      <c r="F34" s="11">
        <f t="shared" si="3"/>
        <v>82.422239954304274</v>
      </c>
      <c r="G34" s="11">
        <f t="shared" si="4"/>
        <v>62.332600096149818</v>
      </c>
      <c r="H34" s="12">
        <f t="shared" si="5"/>
        <v>0.75625947718367814</v>
      </c>
    </row>
    <row r="35" spans="1:8">
      <c r="A35" s="9">
        <v>2024</v>
      </c>
      <c r="B35" s="9" t="s">
        <v>77</v>
      </c>
      <c r="C35" s="10">
        <v>11382740.6</v>
      </c>
      <c r="D35" s="11">
        <v>2035305658.03</v>
      </c>
      <c r="E35" s="11">
        <v>1570881470.48</v>
      </c>
      <c r="F35" s="11">
        <f t="shared" si="3"/>
        <v>178.80629362932157</v>
      </c>
      <c r="G35" s="11">
        <f t="shared" si="4"/>
        <v>138.00555821152597</v>
      </c>
      <c r="H35" s="12">
        <f t="shared" si="5"/>
        <v>0.77181599937204393</v>
      </c>
    </row>
    <row r="36" spans="1:8">
      <c r="A36" s="9">
        <v>2024</v>
      </c>
      <c r="B36" s="9" t="s">
        <v>78</v>
      </c>
      <c r="C36" s="10">
        <v>2835265</v>
      </c>
      <c r="D36" s="11">
        <v>235491258.65000001</v>
      </c>
      <c r="E36" s="11">
        <v>171441120.72999999</v>
      </c>
      <c r="F36" s="11">
        <f t="shared" si="3"/>
        <v>83.057935907225598</v>
      </c>
      <c r="G36" s="11">
        <f t="shared" si="4"/>
        <v>60.467406302409117</v>
      </c>
      <c r="H36" s="12">
        <f t="shared" si="5"/>
        <v>0.72801479644221179</v>
      </c>
    </row>
    <row r="37" spans="1:8">
      <c r="A37" s="9">
        <v>2024</v>
      </c>
      <c r="B37" s="9" t="s">
        <v>79</v>
      </c>
      <c r="C37" s="10">
        <v>117004</v>
      </c>
      <c r="D37" s="11">
        <v>11590316.84</v>
      </c>
      <c r="E37" s="11">
        <v>8639620.4399999995</v>
      </c>
      <c r="F37" s="11">
        <f t="shared" si="3"/>
        <v>99.059150456394647</v>
      </c>
      <c r="G37" s="11">
        <f t="shared" si="4"/>
        <v>73.840385285973127</v>
      </c>
      <c r="H37" s="12">
        <f t="shared" si="5"/>
        <v>0.74541710630233293</v>
      </c>
    </row>
    <row r="38" spans="1:8">
      <c r="A38" s="9">
        <v>2024</v>
      </c>
      <c r="B38" s="9" t="s">
        <v>80</v>
      </c>
      <c r="C38" s="10">
        <v>4698380.8</v>
      </c>
      <c r="D38" s="11">
        <v>159890348.22999999</v>
      </c>
      <c r="E38" s="11">
        <v>123324193.94</v>
      </c>
      <c r="F38" s="11">
        <f t="shared" si="3"/>
        <v>34.030947050949976</v>
      </c>
      <c r="G38" s="11">
        <f t="shared" si="4"/>
        <v>26.248232995503471</v>
      </c>
      <c r="H38" s="12">
        <f t="shared" si="5"/>
        <v>0.77130480548206637</v>
      </c>
    </row>
    <row r="39" spans="1:8">
      <c r="A39" s="9">
        <v>2024</v>
      </c>
      <c r="B39" s="9" t="s">
        <v>81</v>
      </c>
      <c r="C39" s="10">
        <v>4661174.8</v>
      </c>
      <c r="D39" s="11">
        <v>296035514.91000003</v>
      </c>
      <c r="E39" s="11">
        <v>219937897.87</v>
      </c>
      <c r="F39" s="11">
        <f t="shared" si="3"/>
        <v>63.510923235489912</v>
      </c>
      <c r="G39" s="11">
        <f t="shared" si="4"/>
        <v>47.185078291850374</v>
      </c>
      <c r="H39" s="12">
        <f t="shared" si="5"/>
        <v>0.74294429820984476</v>
      </c>
    </row>
    <row r="40" spans="1:8">
      <c r="A40" s="9">
        <v>2024</v>
      </c>
      <c r="B40" s="9" t="s">
        <v>82</v>
      </c>
      <c r="C40" s="10">
        <v>13187059.1</v>
      </c>
      <c r="D40" s="11">
        <v>278449626.44999999</v>
      </c>
      <c r="E40" s="11">
        <v>216196187.44999999</v>
      </c>
      <c r="F40" s="11">
        <f t="shared" si="3"/>
        <v>21.115369570915171</v>
      </c>
      <c r="G40" s="11">
        <f t="shared" si="4"/>
        <v>16.394571815485378</v>
      </c>
      <c r="H40" s="12">
        <f t="shared" si="5"/>
        <v>0.77642836230854639</v>
      </c>
    </row>
    <row r="41" spans="1:8">
      <c r="A41" s="9">
        <v>2024</v>
      </c>
      <c r="B41" s="9" t="s">
        <v>83</v>
      </c>
      <c r="C41" s="10">
        <v>401348711.30000001</v>
      </c>
      <c r="D41" s="11">
        <v>8823162848.5200005</v>
      </c>
      <c r="E41" s="11">
        <v>6838805200.4099998</v>
      </c>
      <c r="F41" s="11">
        <f t="shared" si="3"/>
        <v>21.983782681003465</v>
      </c>
      <c r="G41" s="11">
        <f t="shared" si="4"/>
        <v>17.039559385300063</v>
      </c>
      <c r="H41" s="12">
        <f t="shared" si="5"/>
        <v>0.77509678987248243</v>
      </c>
    </row>
    <row r="42" spans="1:8">
      <c r="A42" s="9">
        <v>2024</v>
      </c>
      <c r="B42" s="9" t="s">
        <v>84</v>
      </c>
      <c r="C42" s="10">
        <v>988913.9</v>
      </c>
      <c r="D42" s="11">
        <v>34528799.579999998</v>
      </c>
      <c r="E42" s="11">
        <v>26821246.920000002</v>
      </c>
      <c r="F42" s="11">
        <f t="shared" si="3"/>
        <v>34.915880523066768</v>
      </c>
      <c r="G42" s="11">
        <f t="shared" si="4"/>
        <v>27.121923273603496</v>
      </c>
      <c r="H42" s="12">
        <f t="shared" si="5"/>
        <v>0.77677901480060674</v>
      </c>
    </row>
    <row r="43" spans="1:8">
      <c r="A43" s="9">
        <v>2024</v>
      </c>
      <c r="B43" s="9" t="s">
        <v>85</v>
      </c>
      <c r="C43" s="10">
        <v>33097</v>
      </c>
      <c r="D43" s="11">
        <v>588826.76</v>
      </c>
      <c r="E43" s="11">
        <v>440106.1</v>
      </c>
      <c r="F43" s="11">
        <f t="shared" si="3"/>
        <v>17.790940568631598</v>
      </c>
      <c r="G43" s="11">
        <f t="shared" si="4"/>
        <v>13.297462005619844</v>
      </c>
      <c r="H43" s="12">
        <f t="shared" si="5"/>
        <v>0.74742883628454648</v>
      </c>
    </row>
    <row r="44" spans="1:8">
      <c r="A44" s="9">
        <v>2024</v>
      </c>
      <c r="B44" s="9" t="s">
        <v>86</v>
      </c>
      <c r="C44" s="10">
        <v>546808</v>
      </c>
      <c r="D44" s="11">
        <v>13887553.93</v>
      </c>
      <c r="E44" s="11">
        <v>10852222.23</v>
      </c>
      <c r="F44" s="11">
        <f t="shared" si="3"/>
        <v>25.397495885210166</v>
      </c>
      <c r="G44" s="11">
        <f t="shared" si="4"/>
        <v>19.846494985442789</v>
      </c>
      <c r="H44" s="12">
        <f t="shared" si="5"/>
        <v>0.7814351097897051</v>
      </c>
    </row>
    <row r="45" spans="1:8">
      <c r="A45" s="9">
        <v>2024</v>
      </c>
      <c r="B45" s="9" t="s">
        <v>87</v>
      </c>
      <c r="C45" s="10">
        <v>1088063</v>
      </c>
      <c r="D45" s="11">
        <v>81572427.230000004</v>
      </c>
      <c r="E45" s="11">
        <v>62950842</v>
      </c>
      <c r="F45" s="11">
        <f t="shared" si="3"/>
        <v>74.97031626845137</v>
      </c>
      <c r="G45" s="11">
        <f t="shared" si="4"/>
        <v>57.85587966873242</v>
      </c>
      <c r="H45" s="12">
        <f t="shared" si="5"/>
        <v>0.77171716151715153</v>
      </c>
    </row>
    <row r="46" spans="1:8">
      <c r="A46" s="9">
        <v>2024</v>
      </c>
      <c r="B46" s="9" t="s">
        <v>88</v>
      </c>
      <c r="C46" s="10">
        <v>162250</v>
      </c>
      <c r="D46" s="11">
        <v>8439881.5299999993</v>
      </c>
      <c r="E46" s="11">
        <v>6375002.7000000002</v>
      </c>
      <c r="F46" s="11">
        <f t="shared" si="3"/>
        <v>52.017759815100149</v>
      </c>
      <c r="G46" s="11">
        <f t="shared" si="4"/>
        <v>39.291233898305087</v>
      </c>
      <c r="H46" s="12">
        <f t="shared" si="5"/>
        <v>0.75534267600080884</v>
      </c>
    </row>
    <row r="47" spans="1:8">
      <c r="A47" s="9">
        <v>2024</v>
      </c>
      <c r="B47" s="9" t="s">
        <v>89</v>
      </c>
      <c r="C47" s="10">
        <v>14103098</v>
      </c>
      <c r="D47" s="11">
        <v>1356550386.47</v>
      </c>
      <c r="E47" s="11">
        <v>1047469017.58</v>
      </c>
      <c r="F47" s="11">
        <f t="shared" si="3"/>
        <v>96.188113169886506</v>
      </c>
      <c r="G47" s="11">
        <f t="shared" si="4"/>
        <v>74.272263979162602</v>
      </c>
      <c r="H47" s="12">
        <f t="shared" si="5"/>
        <v>0.77215636663943754</v>
      </c>
    </row>
    <row r="48" spans="1:8">
      <c r="A48" s="9">
        <v>2024</v>
      </c>
      <c r="B48" s="9" t="s">
        <v>90</v>
      </c>
      <c r="C48" s="10">
        <v>29566173.699999999</v>
      </c>
      <c r="D48" s="11">
        <v>1198299163.45</v>
      </c>
      <c r="E48" s="11">
        <v>914953189.58000004</v>
      </c>
      <c r="F48" s="11">
        <f t="shared" si="3"/>
        <v>40.529396045927989</v>
      </c>
      <c r="G48" s="11">
        <f t="shared" si="4"/>
        <v>30.945945148796852</v>
      </c>
      <c r="H48" s="12">
        <f t="shared" si="5"/>
        <v>0.76354320981563228</v>
      </c>
    </row>
    <row r="49" spans="1:8">
      <c r="A49" s="9">
        <v>2024</v>
      </c>
      <c r="B49" s="9" t="s">
        <v>91</v>
      </c>
      <c r="C49" s="10">
        <v>944108</v>
      </c>
      <c r="D49" s="11">
        <v>281146256.39999998</v>
      </c>
      <c r="E49" s="11">
        <v>216943733.25</v>
      </c>
      <c r="F49" s="11">
        <f t="shared" si="3"/>
        <v>297.79035491702217</v>
      </c>
      <c r="G49" s="11">
        <f t="shared" si="4"/>
        <v>229.78698755862678</v>
      </c>
      <c r="H49" s="12">
        <f t="shared" si="5"/>
        <v>0.77164012791030723</v>
      </c>
    </row>
    <row r="50" spans="1:8">
      <c r="A50" s="9">
        <v>2024</v>
      </c>
      <c r="B50" s="9" t="s">
        <v>92</v>
      </c>
      <c r="C50" s="10">
        <v>783102</v>
      </c>
      <c r="D50" s="11">
        <v>320702948.48000002</v>
      </c>
      <c r="E50" s="11">
        <v>247809919.28999999</v>
      </c>
      <c r="F50" s="11">
        <f t="shared" si="3"/>
        <v>409.5289610804212</v>
      </c>
      <c r="G50" s="11">
        <f t="shared" si="4"/>
        <v>316.44654117854378</v>
      </c>
      <c r="H50" s="12">
        <f t="shared" si="5"/>
        <v>0.77270857802997139</v>
      </c>
    </row>
    <row r="51" spans="1:8">
      <c r="A51" s="9">
        <v>2024</v>
      </c>
      <c r="B51" s="9" t="s">
        <v>93</v>
      </c>
      <c r="C51" s="10">
        <v>152248</v>
      </c>
      <c r="D51" s="11">
        <v>55691701.659999996</v>
      </c>
      <c r="E51" s="11">
        <v>43216549.25</v>
      </c>
      <c r="F51" s="11">
        <f t="shared" si="3"/>
        <v>365.79594910934787</v>
      </c>
      <c r="G51" s="11">
        <f t="shared" si="4"/>
        <v>283.85626904786926</v>
      </c>
      <c r="H51" s="12">
        <f t="shared" si="5"/>
        <v>0.77599620700833871</v>
      </c>
    </row>
    <row r="52" spans="1:8">
      <c r="A52" s="9">
        <v>2024</v>
      </c>
      <c r="B52" s="9" t="s">
        <v>94</v>
      </c>
      <c r="C52" s="10">
        <v>49993770.899999999</v>
      </c>
      <c r="D52" s="11">
        <v>760533636.02999997</v>
      </c>
      <c r="E52" s="11">
        <v>587470209.67999995</v>
      </c>
      <c r="F52" s="11">
        <f t="shared" si="3"/>
        <v>15.212567932738196</v>
      </c>
      <c r="G52" s="11">
        <f t="shared" si="4"/>
        <v>11.750868140254649</v>
      </c>
      <c r="H52" s="12">
        <f t="shared" si="5"/>
        <v>0.77244474385985817</v>
      </c>
    </row>
    <row r="53" spans="1:8">
      <c r="A53" s="9">
        <v>2024</v>
      </c>
      <c r="B53" s="9" t="s">
        <v>95</v>
      </c>
      <c r="C53" s="10">
        <v>34933</v>
      </c>
      <c r="D53" s="11">
        <v>3971418.18</v>
      </c>
      <c r="E53" s="11">
        <v>3090994.18</v>
      </c>
      <c r="F53" s="11">
        <f t="shared" si="3"/>
        <v>113.68671972060802</v>
      </c>
      <c r="G53" s="11">
        <f t="shared" si="4"/>
        <v>88.483502132653939</v>
      </c>
      <c r="H53" s="12">
        <f t="shared" si="5"/>
        <v>0.77830992353467043</v>
      </c>
    </row>
    <row r="54" spans="1:8">
      <c r="A54" s="9">
        <v>2024</v>
      </c>
      <c r="B54" s="9" t="s">
        <v>96</v>
      </c>
      <c r="C54" s="10">
        <v>16629</v>
      </c>
      <c r="D54" s="11">
        <v>14483.14</v>
      </c>
      <c r="E54" s="11">
        <v>11354.76</v>
      </c>
      <c r="F54" s="11">
        <f t="shared" si="3"/>
        <v>0.87095676228275898</v>
      </c>
      <c r="G54" s="11">
        <f t="shared" si="4"/>
        <v>0.68282879307234345</v>
      </c>
      <c r="H54" s="12">
        <f t="shared" si="5"/>
        <v>0.7839984975633737</v>
      </c>
    </row>
    <row r="55" spans="1:8">
      <c r="A55" s="9">
        <v>2024</v>
      </c>
      <c r="B55" s="9" t="s">
        <v>97</v>
      </c>
      <c r="C55" s="10">
        <v>199460850.5</v>
      </c>
      <c r="D55" s="11">
        <v>10509170421</v>
      </c>
      <c r="E55" s="11">
        <v>7723605719.5600004</v>
      </c>
      <c r="F55" s="11">
        <f t="shared" si="3"/>
        <v>52.687885340186092</v>
      </c>
      <c r="G55" s="11">
        <f t="shared" si="4"/>
        <v>38.722414449746871</v>
      </c>
      <c r="H55" s="12">
        <f t="shared" si="5"/>
        <v>0.73493962036492133</v>
      </c>
    </row>
    <row r="56" spans="1:8">
      <c r="A56" s="9">
        <v>2024</v>
      </c>
      <c r="B56" s="9" t="s">
        <v>98</v>
      </c>
      <c r="C56" s="10">
        <v>13762195.9</v>
      </c>
      <c r="D56" s="11">
        <v>1273372503.0999999</v>
      </c>
      <c r="E56" s="11">
        <v>960840466.88999999</v>
      </c>
      <c r="F56" s="11">
        <f t="shared" si="3"/>
        <v>92.526840364189255</v>
      </c>
      <c r="G56" s="11">
        <f t="shared" si="4"/>
        <v>69.817380443625282</v>
      </c>
      <c r="H56" s="12">
        <f t="shared" si="5"/>
        <v>0.75456354252259494</v>
      </c>
    </row>
    <row r="57" spans="1:8">
      <c r="A57" s="9">
        <v>2024</v>
      </c>
      <c r="B57" s="9" t="s">
        <v>99</v>
      </c>
      <c r="C57" s="10">
        <v>9446942.6999999993</v>
      </c>
      <c r="D57" s="11">
        <v>384136047.32999998</v>
      </c>
      <c r="E57" s="11">
        <v>292973393.32999998</v>
      </c>
      <c r="F57" s="11">
        <f t="shared" si="3"/>
        <v>40.662472455771329</v>
      </c>
      <c r="G57" s="11">
        <f t="shared" si="4"/>
        <v>31.012508769636128</v>
      </c>
      <c r="H57" s="12">
        <f t="shared" si="5"/>
        <v>0.76268133481967959</v>
      </c>
    </row>
    <row r="58" spans="1:8">
      <c r="A58" s="9">
        <v>2024</v>
      </c>
      <c r="B58" s="9" t="s">
        <v>100</v>
      </c>
      <c r="C58" s="10">
        <v>8270798.2000000002</v>
      </c>
      <c r="D58" s="11">
        <v>485787089.11000001</v>
      </c>
      <c r="E58" s="11">
        <v>375078466.38</v>
      </c>
      <c r="F58" s="11">
        <f t="shared" si="3"/>
        <v>58.735212413960241</v>
      </c>
      <c r="G58" s="11">
        <f t="shared" si="4"/>
        <v>45.349730136082876</v>
      </c>
      <c r="H58" s="12">
        <f t="shared" si="5"/>
        <v>0.77210464170048887</v>
      </c>
    </row>
    <row r="59" spans="1:8">
      <c r="A59" s="9">
        <v>2024</v>
      </c>
      <c r="B59" s="9" t="s">
        <v>101</v>
      </c>
      <c r="C59" s="10">
        <v>7072003.7000000002</v>
      </c>
      <c r="D59" s="11">
        <v>652211367.71000004</v>
      </c>
      <c r="E59" s="11">
        <v>488342309.69999999</v>
      </c>
      <c r="F59" s="11">
        <f t="shared" si="3"/>
        <v>92.224409852896429</v>
      </c>
      <c r="G59" s="11">
        <f t="shared" si="4"/>
        <v>69.052892280019591</v>
      </c>
      <c r="H59" s="12">
        <f t="shared" si="5"/>
        <v>0.74874854054542794</v>
      </c>
    </row>
    <row r="60" spans="1:8">
      <c r="A60" s="9">
        <v>2024</v>
      </c>
      <c r="B60" s="9" t="s">
        <v>102</v>
      </c>
      <c r="C60" s="10">
        <v>21906</v>
      </c>
      <c r="D60" s="11">
        <v>1702002.14</v>
      </c>
      <c r="E60" s="11">
        <v>1614762.82</v>
      </c>
      <c r="F60" s="11">
        <f t="shared" si="3"/>
        <v>77.695706199214825</v>
      </c>
      <c r="G60" s="11">
        <f t="shared" si="4"/>
        <v>73.713266684926509</v>
      </c>
      <c r="H60" s="12">
        <f t="shared" si="5"/>
        <v>0.94874311967668867</v>
      </c>
    </row>
    <row r="61" spans="1:8">
      <c r="A61" s="9">
        <v>2024</v>
      </c>
      <c r="B61" s="9" t="s">
        <v>176</v>
      </c>
      <c r="C61" s="10">
        <v>176927</v>
      </c>
      <c r="D61" s="11">
        <v>17075969.93</v>
      </c>
      <c r="E61" s="11">
        <v>13051790.18</v>
      </c>
      <c r="F61" s="11">
        <f t="shared" si="3"/>
        <v>96.514211680523601</v>
      </c>
      <c r="G61" s="11">
        <f t="shared" si="4"/>
        <v>73.769352218711674</v>
      </c>
      <c r="H61" s="12">
        <f t="shared" si="5"/>
        <v>0.76433668093253659</v>
      </c>
    </row>
    <row r="62" spans="1:8">
      <c r="A62" s="9">
        <v>2024</v>
      </c>
      <c r="B62" s="9" t="s">
        <v>103</v>
      </c>
      <c r="C62" s="10">
        <v>20171322.5</v>
      </c>
      <c r="D62" s="11">
        <v>1572745782.3499999</v>
      </c>
      <c r="E62" s="11">
        <v>1540470887.9400001</v>
      </c>
      <c r="F62" s="11">
        <f t="shared" si="3"/>
        <v>77.969393546208977</v>
      </c>
      <c r="G62" s="11">
        <f t="shared" si="4"/>
        <v>76.369354956275174</v>
      </c>
      <c r="H62" s="12">
        <f t="shared" si="5"/>
        <v>0.97947863235609844</v>
      </c>
    </row>
    <row r="63" spans="1:8">
      <c r="A63" s="9">
        <v>2024</v>
      </c>
      <c r="B63" s="9" t="s">
        <v>104</v>
      </c>
      <c r="C63" s="10">
        <v>104751</v>
      </c>
      <c r="D63" s="11">
        <v>14635307.85</v>
      </c>
      <c r="E63" s="11">
        <v>11023578.619999999</v>
      </c>
      <c r="F63" s="11">
        <f t="shared" si="3"/>
        <v>139.71520892401981</v>
      </c>
      <c r="G63" s="11">
        <f t="shared" si="4"/>
        <v>105.2360227587326</v>
      </c>
      <c r="H63" s="12">
        <f t="shared" si="5"/>
        <v>0.75321808963519676</v>
      </c>
    </row>
    <row r="64" spans="1:8">
      <c r="A64" s="9">
        <v>2024</v>
      </c>
      <c r="B64" s="9" t="s">
        <v>105</v>
      </c>
      <c r="C64" s="10">
        <v>25773</v>
      </c>
      <c r="D64" s="11">
        <v>1399733.82</v>
      </c>
      <c r="E64" s="11">
        <v>1037872.29</v>
      </c>
      <c r="F64" s="11">
        <f t="shared" si="3"/>
        <v>54.310084972645797</v>
      </c>
      <c r="G64" s="11">
        <f t="shared" si="4"/>
        <v>40.269750902106857</v>
      </c>
      <c r="H64" s="12">
        <f t="shared" si="5"/>
        <v>0.7414783262149085</v>
      </c>
    </row>
    <row r="65" spans="1:8">
      <c r="A65" s="9">
        <v>2024</v>
      </c>
      <c r="B65" s="9" t="s">
        <v>106</v>
      </c>
      <c r="C65" s="10">
        <v>108502162</v>
      </c>
      <c r="D65" s="11">
        <v>2510356073.9099998</v>
      </c>
      <c r="E65" s="11">
        <v>1950646209.5999999</v>
      </c>
      <c r="F65" s="11">
        <f t="shared" si="3"/>
        <v>23.136461316872193</v>
      </c>
      <c r="G65" s="11">
        <f t="shared" si="4"/>
        <v>17.97794784586873</v>
      </c>
      <c r="H65" s="12">
        <f t="shared" si="5"/>
        <v>0.77703965181392576</v>
      </c>
    </row>
    <row r="66" spans="1:8">
      <c r="A66" s="9">
        <v>2024</v>
      </c>
      <c r="B66" s="9" t="s">
        <v>107</v>
      </c>
      <c r="C66" s="10">
        <v>566441393</v>
      </c>
      <c r="D66" s="11">
        <v>8455564594.96</v>
      </c>
      <c r="E66" s="11">
        <v>6494140992.8599997</v>
      </c>
      <c r="F66" s="11">
        <f t="shared" si="3"/>
        <v>14.927518891544</v>
      </c>
      <c r="G66" s="11">
        <f t="shared" si="4"/>
        <v>11.464806550357451</v>
      </c>
      <c r="H66" s="12">
        <f t="shared" si="5"/>
        <v>0.76803162224446597</v>
      </c>
    </row>
    <row r="67" spans="1:8">
      <c r="A67" s="9">
        <v>2024</v>
      </c>
      <c r="B67" s="9" t="s">
        <v>108</v>
      </c>
      <c r="C67" s="10">
        <v>35988966</v>
      </c>
      <c r="D67" s="11">
        <v>537794286.20000005</v>
      </c>
      <c r="E67" s="11">
        <v>411990195.55000001</v>
      </c>
      <c r="F67" s="11">
        <f t="shared" ref="F67:F130" si="6">IFERROR(D67/C67,0)</f>
        <v>14.943310296828201</v>
      </c>
      <c r="G67" s="11">
        <f t="shared" ref="G67:G130" si="7">IFERROR(E67/C67,0)</f>
        <v>11.447680812780229</v>
      </c>
      <c r="H67" s="12">
        <f t="shared" ref="H67:H130" si="8">IFERROR(E67/D67,0)</f>
        <v>0.76607395452465854</v>
      </c>
    </row>
    <row r="68" spans="1:8">
      <c r="A68" s="9">
        <v>2024</v>
      </c>
      <c r="B68" s="9" t="s">
        <v>109</v>
      </c>
      <c r="C68" s="10">
        <v>309141</v>
      </c>
      <c r="D68" s="11">
        <v>11606139.25</v>
      </c>
      <c r="E68" s="11">
        <v>8950171.9900000002</v>
      </c>
      <c r="F68" s="11">
        <f t="shared" si="6"/>
        <v>37.543189838940805</v>
      </c>
      <c r="G68" s="11">
        <f t="shared" si="7"/>
        <v>28.951746905133906</v>
      </c>
      <c r="H68" s="12">
        <f t="shared" si="8"/>
        <v>0.77115841859298739</v>
      </c>
    </row>
    <row r="69" spans="1:8">
      <c r="A69" s="9">
        <v>2024</v>
      </c>
      <c r="B69" s="9" t="s">
        <v>110</v>
      </c>
      <c r="C69" s="10">
        <v>423033</v>
      </c>
      <c r="D69" s="11">
        <v>29598412.039999999</v>
      </c>
      <c r="E69" s="11">
        <v>22804011.039999999</v>
      </c>
      <c r="F69" s="11">
        <f t="shared" si="6"/>
        <v>69.967146865610957</v>
      </c>
      <c r="G69" s="11">
        <f t="shared" si="7"/>
        <v>53.905986152380542</v>
      </c>
      <c r="H69" s="12">
        <f t="shared" si="8"/>
        <v>0.77044711078358241</v>
      </c>
    </row>
    <row r="70" spans="1:8">
      <c r="A70" s="9">
        <v>2024</v>
      </c>
      <c r="B70" s="9" t="s">
        <v>111</v>
      </c>
      <c r="C70" s="10">
        <v>1859654</v>
      </c>
      <c r="D70" s="11">
        <v>143241293.11000001</v>
      </c>
      <c r="E70" s="11">
        <v>110393098.44</v>
      </c>
      <c r="F70" s="11">
        <f t="shared" si="6"/>
        <v>77.025776359473326</v>
      </c>
      <c r="G70" s="11">
        <f t="shared" si="7"/>
        <v>59.362170833929319</v>
      </c>
      <c r="H70" s="12">
        <f t="shared" si="8"/>
        <v>0.77067929256422774</v>
      </c>
    </row>
    <row r="71" spans="1:8">
      <c r="A71" s="9">
        <v>2024</v>
      </c>
      <c r="B71" s="9" t="s">
        <v>112</v>
      </c>
      <c r="C71" s="10">
        <v>286196</v>
      </c>
      <c r="D71" s="11">
        <v>7058014.3700000001</v>
      </c>
      <c r="E71" s="11">
        <v>5423519.79</v>
      </c>
      <c r="F71" s="11">
        <f t="shared" si="6"/>
        <v>24.661471054801606</v>
      </c>
      <c r="G71" s="11">
        <f t="shared" si="7"/>
        <v>18.950368942962164</v>
      </c>
      <c r="H71" s="12">
        <f t="shared" si="8"/>
        <v>0.76842005494528343</v>
      </c>
    </row>
    <row r="72" spans="1:8">
      <c r="A72" s="9">
        <v>2024</v>
      </c>
      <c r="B72" s="9" t="s">
        <v>113</v>
      </c>
      <c r="C72" s="10">
        <v>45688946</v>
      </c>
      <c r="D72" s="11">
        <v>1155732142.1300001</v>
      </c>
      <c r="E72" s="11">
        <v>868102434.13999999</v>
      </c>
      <c r="F72" s="11">
        <f t="shared" si="6"/>
        <v>25.295662152722894</v>
      </c>
      <c r="G72" s="11">
        <f t="shared" si="7"/>
        <v>19.000272716731089</v>
      </c>
      <c r="H72" s="12">
        <f t="shared" si="8"/>
        <v>0.75112770727315581</v>
      </c>
    </row>
    <row r="73" spans="1:8">
      <c r="A73" s="9">
        <v>2024</v>
      </c>
      <c r="B73" s="9" t="s">
        <v>114</v>
      </c>
      <c r="C73" s="10">
        <v>7410</v>
      </c>
      <c r="D73" s="11">
        <v>1072322.79</v>
      </c>
      <c r="E73" s="11">
        <v>819962.86</v>
      </c>
      <c r="F73" s="11">
        <f t="shared" si="6"/>
        <v>144.71292712550607</v>
      </c>
      <c r="G73" s="11">
        <f t="shared" si="7"/>
        <v>110.6562564102564</v>
      </c>
      <c r="H73" s="12">
        <f t="shared" si="8"/>
        <v>0.76466048063755132</v>
      </c>
    </row>
    <row r="74" spans="1:8">
      <c r="A74" s="9">
        <v>2024</v>
      </c>
      <c r="B74" s="9" t="s">
        <v>115</v>
      </c>
      <c r="C74" s="10">
        <v>16151</v>
      </c>
      <c r="D74" s="11">
        <v>430049</v>
      </c>
      <c r="E74" s="11">
        <v>421411.2</v>
      </c>
      <c r="F74" s="11">
        <f t="shared" si="6"/>
        <v>26.626772336078261</v>
      </c>
      <c r="G74" s="11">
        <f t="shared" si="7"/>
        <v>26.091957154355768</v>
      </c>
      <c r="H74" s="12">
        <f t="shared" si="8"/>
        <v>0.97991438184951019</v>
      </c>
    </row>
    <row r="75" spans="1:8">
      <c r="A75" s="9">
        <v>2024</v>
      </c>
      <c r="B75" s="9" t="s">
        <v>173</v>
      </c>
      <c r="C75" s="10">
        <v>1053566.8</v>
      </c>
      <c r="D75" s="11">
        <v>94319088.590000004</v>
      </c>
      <c r="E75" s="11">
        <v>71568420.140000001</v>
      </c>
      <c r="F75" s="11">
        <f t="shared" si="6"/>
        <v>89.523596026374406</v>
      </c>
      <c r="G75" s="11">
        <f t="shared" si="7"/>
        <v>67.929646359395534</v>
      </c>
      <c r="H75" s="12">
        <f t="shared" si="8"/>
        <v>0.7587904125230055</v>
      </c>
    </row>
    <row r="76" spans="1:8">
      <c r="A76" s="9">
        <v>2024</v>
      </c>
      <c r="B76" s="9" t="s">
        <v>116</v>
      </c>
      <c r="C76" s="10">
        <v>1499044</v>
      </c>
      <c r="D76" s="11">
        <v>346561460.70999998</v>
      </c>
      <c r="E76" s="11">
        <v>270047116.45999998</v>
      </c>
      <c r="F76" s="11">
        <f t="shared" si="6"/>
        <v>231.18831782789564</v>
      </c>
      <c r="G76" s="11">
        <f t="shared" si="7"/>
        <v>180.14622416686899</v>
      </c>
      <c r="H76" s="12">
        <f t="shared" si="8"/>
        <v>0.77921854295845483</v>
      </c>
    </row>
    <row r="77" spans="1:8">
      <c r="A77" s="9">
        <v>2024</v>
      </c>
      <c r="B77" s="9" t="s">
        <v>117</v>
      </c>
      <c r="C77" s="10">
        <v>20230244.699999999</v>
      </c>
      <c r="D77" s="11">
        <v>1849765941.6300001</v>
      </c>
      <c r="E77" s="11">
        <v>1390526426.1099999</v>
      </c>
      <c r="F77" s="11">
        <f t="shared" si="6"/>
        <v>91.435668182006722</v>
      </c>
      <c r="G77" s="11">
        <f t="shared" si="7"/>
        <v>68.735027516004294</v>
      </c>
      <c r="H77" s="12">
        <f t="shared" si="8"/>
        <v>0.75173101353822003</v>
      </c>
    </row>
    <row r="78" spans="1:8">
      <c r="A78" s="9">
        <v>2024</v>
      </c>
      <c r="B78" s="9" t="s">
        <v>118</v>
      </c>
      <c r="C78" s="10">
        <v>76075643.400000006</v>
      </c>
      <c r="D78" s="11">
        <v>2217543864.2600002</v>
      </c>
      <c r="E78" s="11">
        <v>1662622771.4000001</v>
      </c>
      <c r="F78" s="11">
        <f t="shared" si="6"/>
        <v>29.149196315045561</v>
      </c>
      <c r="G78" s="11">
        <f t="shared" si="7"/>
        <v>21.854863095380669</v>
      </c>
      <c r="H78" s="12">
        <f t="shared" si="8"/>
        <v>0.7497586849109843</v>
      </c>
    </row>
    <row r="79" spans="1:8">
      <c r="A79" s="9">
        <v>2024</v>
      </c>
      <c r="B79" s="9" t="s">
        <v>119</v>
      </c>
      <c r="C79" s="10">
        <v>372453</v>
      </c>
      <c r="D79" s="11">
        <v>14623278.9</v>
      </c>
      <c r="E79" s="11">
        <v>11042426.16</v>
      </c>
      <c r="F79" s="11">
        <f t="shared" si="6"/>
        <v>39.262078436742357</v>
      </c>
      <c r="G79" s="11">
        <f t="shared" si="7"/>
        <v>29.647837874845955</v>
      </c>
      <c r="H79" s="12">
        <f t="shared" si="8"/>
        <v>0.75512655099534487</v>
      </c>
    </row>
    <row r="80" spans="1:8">
      <c r="A80" s="9">
        <v>2024</v>
      </c>
      <c r="B80" s="9" t="s">
        <v>120</v>
      </c>
      <c r="C80" s="10">
        <v>2780096</v>
      </c>
      <c r="D80" s="11">
        <v>727305173.86000001</v>
      </c>
      <c r="E80" s="11">
        <v>562358047.80999994</v>
      </c>
      <c r="F80" s="11">
        <f t="shared" si="6"/>
        <v>261.61153206939616</v>
      </c>
      <c r="G80" s="11">
        <f t="shared" si="7"/>
        <v>202.28008234607725</v>
      </c>
      <c r="H80" s="12">
        <f t="shared" si="8"/>
        <v>0.77320781980061792</v>
      </c>
    </row>
    <row r="81" spans="1:8">
      <c r="A81" s="9">
        <v>2024</v>
      </c>
      <c r="B81" s="9" t="s">
        <v>121</v>
      </c>
      <c r="C81" s="10">
        <v>2098996.7000000002</v>
      </c>
      <c r="D81" s="11">
        <v>247360794.75999999</v>
      </c>
      <c r="E81" s="11">
        <v>192095870.56</v>
      </c>
      <c r="F81" s="11">
        <f t="shared" si="6"/>
        <v>117.84715753007137</v>
      </c>
      <c r="G81" s="11">
        <f t="shared" si="7"/>
        <v>91.517947865282494</v>
      </c>
      <c r="H81" s="12">
        <f t="shared" si="8"/>
        <v>0.77658171638064</v>
      </c>
    </row>
    <row r="82" spans="1:8">
      <c r="A82" s="9">
        <v>2024</v>
      </c>
      <c r="B82" s="9" t="s">
        <v>122</v>
      </c>
      <c r="C82" s="10">
        <v>239066819.30000001</v>
      </c>
      <c r="D82" s="11">
        <v>13463633078.9</v>
      </c>
      <c r="E82" s="11">
        <v>10148467542.85</v>
      </c>
      <c r="F82" s="11">
        <f t="shared" si="6"/>
        <v>56.31744764213709</v>
      </c>
      <c r="G82" s="11">
        <f t="shared" si="7"/>
        <v>42.450339083295781</v>
      </c>
      <c r="H82" s="12">
        <f t="shared" si="8"/>
        <v>0.75376887377854374</v>
      </c>
    </row>
    <row r="83" spans="1:8">
      <c r="A83" s="9">
        <v>2024</v>
      </c>
      <c r="B83" s="9" t="s">
        <v>124</v>
      </c>
      <c r="C83" s="10">
        <v>9089154.0999999996</v>
      </c>
      <c r="D83" s="11">
        <v>546051598.38</v>
      </c>
      <c r="E83" s="11">
        <v>414377844.31999999</v>
      </c>
      <c r="F83" s="11">
        <f t="shared" si="6"/>
        <v>60.077273679406538</v>
      </c>
      <c r="G83" s="11">
        <f t="shared" si="7"/>
        <v>45.590364049389372</v>
      </c>
      <c r="H83" s="12">
        <f t="shared" si="8"/>
        <v>0.75886206642258081</v>
      </c>
    </row>
    <row r="84" spans="1:8">
      <c r="A84" s="9">
        <v>2024</v>
      </c>
      <c r="B84" s="9" t="s">
        <v>125</v>
      </c>
      <c r="C84" s="10">
        <v>20470390.5</v>
      </c>
      <c r="D84" s="11">
        <v>577570598.21000004</v>
      </c>
      <c r="E84" s="11">
        <v>432972370.20999998</v>
      </c>
      <c r="F84" s="11">
        <f t="shared" si="6"/>
        <v>28.214928201296406</v>
      </c>
      <c r="G84" s="11">
        <f t="shared" si="7"/>
        <v>21.151153428655892</v>
      </c>
      <c r="H84" s="12">
        <f t="shared" si="8"/>
        <v>0.74964406351684598</v>
      </c>
    </row>
    <row r="85" spans="1:8">
      <c r="A85" s="9">
        <v>2024</v>
      </c>
      <c r="B85" s="9" t="s">
        <v>126</v>
      </c>
      <c r="C85" s="10">
        <v>19878</v>
      </c>
      <c r="D85" s="11">
        <v>6183778.3600000003</v>
      </c>
      <c r="E85" s="11">
        <v>4731830.75</v>
      </c>
      <c r="F85" s="11">
        <f t="shared" si="6"/>
        <v>311.08654593017405</v>
      </c>
      <c r="G85" s="11">
        <f t="shared" si="7"/>
        <v>238.04360348123555</v>
      </c>
      <c r="H85" s="12">
        <f t="shared" si="8"/>
        <v>0.76520057390931451</v>
      </c>
    </row>
    <row r="86" spans="1:8">
      <c r="A86" s="9">
        <v>2024</v>
      </c>
      <c r="B86" s="9" t="s">
        <v>127</v>
      </c>
      <c r="C86" s="10">
        <v>154129079.69999999</v>
      </c>
      <c r="D86" s="11">
        <v>10888578467.08</v>
      </c>
      <c r="E86" s="11">
        <v>8231506916.5</v>
      </c>
      <c r="F86" s="11">
        <f t="shared" si="6"/>
        <v>70.64584105915479</v>
      </c>
      <c r="G86" s="11">
        <f t="shared" si="7"/>
        <v>53.406579293939693</v>
      </c>
      <c r="H86" s="12">
        <f t="shared" si="8"/>
        <v>0.75597626828761333</v>
      </c>
    </row>
    <row r="87" spans="1:8">
      <c r="A87" s="9">
        <v>2024</v>
      </c>
      <c r="B87" s="9" t="s">
        <v>128</v>
      </c>
      <c r="C87" s="10">
        <v>1310007</v>
      </c>
      <c r="D87" s="11">
        <v>234290568</v>
      </c>
      <c r="E87" s="11">
        <v>225051440.43000001</v>
      </c>
      <c r="F87" s="11">
        <f t="shared" si="6"/>
        <v>178.84680616210449</v>
      </c>
      <c r="G87" s="11">
        <f t="shared" si="7"/>
        <v>171.79407471105117</v>
      </c>
      <c r="H87" s="12">
        <f t="shared" si="8"/>
        <v>0.96056551636342447</v>
      </c>
    </row>
    <row r="88" spans="1:8">
      <c r="A88" s="9">
        <v>2024</v>
      </c>
      <c r="B88" s="9" t="s">
        <v>129</v>
      </c>
      <c r="C88" s="10">
        <v>33438</v>
      </c>
      <c r="D88" s="11">
        <v>2185731.23</v>
      </c>
      <c r="E88" s="11">
        <v>1642258.77</v>
      </c>
      <c r="F88" s="11">
        <f t="shared" si="6"/>
        <v>65.366685507506432</v>
      </c>
      <c r="G88" s="11">
        <f t="shared" si="7"/>
        <v>49.113546563789704</v>
      </c>
      <c r="H88" s="12">
        <f t="shared" si="8"/>
        <v>0.75135439685326733</v>
      </c>
    </row>
    <row r="89" spans="1:8">
      <c r="A89" s="9">
        <v>2024</v>
      </c>
      <c r="B89" s="9" t="s">
        <v>130</v>
      </c>
      <c r="C89" s="10">
        <v>16337537.1</v>
      </c>
      <c r="D89" s="11">
        <v>1424744445.47</v>
      </c>
      <c r="E89" s="11">
        <v>953233544.42999995</v>
      </c>
      <c r="F89" s="11">
        <f t="shared" si="6"/>
        <v>87.206807044985993</v>
      </c>
      <c r="G89" s="11">
        <f t="shared" si="7"/>
        <v>58.3462206448486</v>
      </c>
      <c r="H89" s="12">
        <f t="shared" si="8"/>
        <v>0.66905580678754195</v>
      </c>
    </row>
    <row r="90" spans="1:8">
      <c r="A90" s="9">
        <v>2024</v>
      </c>
      <c r="B90" s="9" t="s">
        <v>174</v>
      </c>
      <c r="C90" s="10">
        <v>5106</v>
      </c>
      <c r="D90" s="11">
        <v>386893.75</v>
      </c>
      <c r="E90" s="11">
        <v>284488.08</v>
      </c>
      <c r="F90" s="11">
        <f t="shared" si="6"/>
        <v>75.772375636506069</v>
      </c>
      <c r="G90" s="11">
        <f t="shared" si="7"/>
        <v>55.716427732079907</v>
      </c>
      <c r="H90" s="12">
        <f t="shared" si="8"/>
        <v>0.73531319645251447</v>
      </c>
    </row>
    <row r="91" spans="1:8">
      <c r="A91" s="9">
        <v>2024</v>
      </c>
      <c r="B91" s="9" t="s">
        <v>177</v>
      </c>
      <c r="C91" s="10">
        <v>65</v>
      </c>
      <c r="D91" s="11">
        <v>1033.06</v>
      </c>
      <c r="E91" s="11">
        <v>788.36</v>
      </c>
      <c r="F91" s="11">
        <f t="shared" si="6"/>
        <v>15.893230769230769</v>
      </c>
      <c r="G91" s="11">
        <f t="shared" si="7"/>
        <v>12.128615384615385</v>
      </c>
      <c r="H91" s="12">
        <f t="shared" si="8"/>
        <v>0.76313089268774326</v>
      </c>
    </row>
    <row r="92" spans="1:8">
      <c r="A92" s="9">
        <v>2024</v>
      </c>
      <c r="B92" s="9" t="s">
        <v>178</v>
      </c>
      <c r="C92" s="10">
        <v>79</v>
      </c>
      <c r="D92" s="11">
        <v>16616.990000000002</v>
      </c>
      <c r="E92" s="11">
        <v>12139.39</v>
      </c>
      <c r="F92" s="11">
        <f t="shared" si="6"/>
        <v>210.34164556962028</v>
      </c>
      <c r="G92" s="11">
        <f t="shared" si="7"/>
        <v>153.66316455696202</v>
      </c>
      <c r="H92" s="12">
        <f t="shared" si="8"/>
        <v>0.73054085005768177</v>
      </c>
    </row>
    <row r="93" spans="1:8">
      <c r="A93" s="9">
        <v>2024</v>
      </c>
      <c r="B93" s="9" t="s">
        <v>131</v>
      </c>
      <c r="C93" s="10">
        <v>225486</v>
      </c>
      <c r="D93" s="11">
        <v>55571574.780000001</v>
      </c>
      <c r="E93" s="11">
        <v>42580268.359999999</v>
      </c>
      <c r="F93" s="11">
        <f t="shared" si="6"/>
        <v>246.45243953061387</v>
      </c>
      <c r="G93" s="11">
        <f t="shared" si="7"/>
        <v>188.83774762069484</v>
      </c>
      <c r="H93" s="12">
        <f t="shared" si="8"/>
        <v>0.76622389285474191</v>
      </c>
    </row>
    <row r="94" spans="1:8">
      <c r="A94" s="9">
        <v>2024</v>
      </c>
      <c r="B94" s="9" t="s">
        <v>179</v>
      </c>
      <c r="C94" s="10">
        <v>2649</v>
      </c>
      <c r="D94" s="11">
        <v>180980.82</v>
      </c>
      <c r="E94" s="11">
        <v>140112.84</v>
      </c>
      <c r="F94" s="11">
        <f t="shared" si="6"/>
        <v>68.320430351075885</v>
      </c>
      <c r="G94" s="11">
        <f t="shared" si="7"/>
        <v>52.892729331823325</v>
      </c>
      <c r="H94" s="12">
        <f t="shared" si="8"/>
        <v>0.77418612646356666</v>
      </c>
    </row>
    <row r="95" spans="1:8">
      <c r="A95" s="9">
        <v>2024</v>
      </c>
      <c r="B95" s="9" t="s">
        <v>132</v>
      </c>
      <c r="C95" s="10">
        <v>76433879.599999994</v>
      </c>
      <c r="D95" s="11">
        <v>3866621934.1300001</v>
      </c>
      <c r="E95" s="11">
        <v>2901856345.9299998</v>
      </c>
      <c r="F95" s="11">
        <f t="shared" si="6"/>
        <v>50.587801566074113</v>
      </c>
      <c r="G95" s="11">
        <f t="shared" si="7"/>
        <v>37.965577059757152</v>
      </c>
      <c r="H95" s="12">
        <f t="shared" si="8"/>
        <v>0.75048877168874928</v>
      </c>
    </row>
    <row r="96" spans="1:8">
      <c r="A96" s="9">
        <v>2024</v>
      </c>
      <c r="B96" s="9" t="s">
        <v>133</v>
      </c>
      <c r="C96" s="10">
        <v>936895</v>
      </c>
      <c r="D96" s="11">
        <v>96764267.129999995</v>
      </c>
      <c r="E96" s="11">
        <v>73646663.349999994</v>
      </c>
      <c r="F96" s="11">
        <f t="shared" si="6"/>
        <v>103.28186950512064</v>
      </c>
      <c r="G96" s="11">
        <f t="shared" si="7"/>
        <v>78.607168732888951</v>
      </c>
      <c r="H96" s="12">
        <f t="shared" si="8"/>
        <v>0.7610935889284195</v>
      </c>
    </row>
    <row r="97" spans="1:8">
      <c r="A97" s="9">
        <v>2024</v>
      </c>
      <c r="B97" s="9" t="s">
        <v>134</v>
      </c>
      <c r="C97" s="10">
        <v>13905192.300000001</v>
      </c>
      <c r="D97" s="11">
        <v>1254747214.8900001</v>
      </c>
      <c r="E97" s="11">
        <v>926255166.07000005</v>
      </c>
      <c r="F97" s="11">
        <f t="shared" si="6"/>
        <v>90.235876485505344</v>
      </c>
      <c r="G97" s="11">
        <f t="shared" si="7"/>
        <v>66.612179543176836</v>
      </c>
      <c r="H97" s="12">
        <f t="shared" si="8"/>
        <v>0.73820061529381598</v>
      </c>
    </row>
    <row r="98" spans="1:8">
      <c r="A98" s="9">
        <v>2024</v>
      </c>
      <c r="B98" s="9" t="s">
        <v>135</v>
      </c>
      <c r="C98" s="10">
        <v>2582895</v>
      </c>
      <c r="D98" s="11">
        <v>92580196.810000002</v>
      </c>
      <c r="E98" s="11">
        <v>68774636.680000007</v>
      </c>
      <c r="F98" s="11">
        <f t="shared" si="6"/>
        <v>35.843577385065984</v>
      </c>
      <c r="G98" s="11">
        <f t="shared" si="7"/>
        <v>26.626957998679778</v>
      </c>
      <c r="H98" s="12">
        <f t="shared" si="8"/>
        <v>0.74286552685931806</v>
      </c>
    </row>
    <row r="99" spans="1:8">
      <c r="A99" s="9">
        <v>2024</v>
      </c>
      <c r="B99" s="9" t="s">
        <v>136</v>
      </c>
      <c r="C99" s="10">
        <v>13646565.800000001</v>
      </c>
      <c r="D99" s="11">
        <v>589895470.48000002</v>
      </c>
      <c r="E99" s="11">
        <v>446158065.42000002</v>
      </c>
      <c r="F99" s="11">
        <f t="shared" si="6"/>
        <v>43.226660767648958</v>
      </c>
      <c r="G99" s="11">
        <f t="shared" si="7"/>
        <v>32.693797982493145</v>
      </c>
      <c r="H99" s="12">
        <f t="shared" si="8"/>
        <v>0.75633410959565361</v>
      </c>
    </row>
    <row r="100" spans="1:8">
      <c r="A100" s="9">
        <v>2024</v>
      </c>
      <c r="B100" s="9" t="s">
        <v>137</v>
      </c>
      <c r="C100" s="10">
        <v>33676563.399999999</v>
      </c>
      <c r="D100" s="11">
        <v>1395879679.01</v>
      </c>
      <c r="E100" s="11">
        <v>1098422803.3399999</v>
      </c>
      <c r="F100" s="11">
        <f t="shared" si="6"/>
        <v>41.449588024471645</v>
      </c>
      <c r="G100" s="11">
        <f t="shared" si="7"/>
        <v>32.616831779812784</v>
      </c>
      <c r="H100" s="12">
        <f t="shared" si="8"/>
        <v>0.78690364209545238</v>
      </c>
    </row>
    <row r="101" spans="1:8">
      <c r="A101" s="9">
        <v>2024</v>
      </c>
      <c r="B101" s="9" t="s">
        <v>138</v>
      </c>
      <c r="C101" s="10">
        <v>2632763</v>
      </c>
      <c r="D101" s="11">
        <v>118563432.31</v>
      </c>
      <c r="E101" s="11">
        <v>90080488.109999999</v>
      </c>
      <c r="F101" s="11">
        <f t="shared" si="6"/>
        <v>45.033841751042537</v>
      </c>
      <c r="G101" s="11">
        <f t="shared" si="7"/>
        <v>34.21519069889694</v>
      </c>
      <c r="H101" s="12">
        <f t="shared" si="8"/>
        <v>0.75976619734213224</v>
      </c>
    </row>
    <row r="102" spans="1:8">
      <c r="A102" s="9">
        <v>2024</v>
      </c>
      <c r="B102" s="9" t="s">
        <v>139</v>
      </c>
      <c r="C102" s="10">
        <v>66914</v>
      </c>
      <c r="D102" s="11">
        <v>5240996.5999999996</v>
      </c>
      <c r="E102" s="11">
        <v>4069957.54</v>
      </c>
      <c r="F102" s="11">
        <f t="shared" si="6"/>
        <v>78.324365603610602</v>
      </c>
      <c r="G102" s="11">
        <f t="shared" si="7"/>
        <v>60.823707146486534</v>
      </c>
      <c r="H102" s="12">
        <f t="shared" si="8"/>
        <v>0.77656175926540394</v>
      </c>
    </row>
    <row r="103" spans="1:8">
      <c r="A103" s="9">
        <v>2024</v>
      </c>
      <c r="B103" s="9" t="s">
        <v>180</v>
      </c>
      <c r="C103" s="10">
        <v>11</v>
      </c>
      <c r="D103" s="11">
        <v>1878.07</v>
      </c>
      <c r="E103" s="11">
        <v>1472.4</v>
      </c>
      <c r="F103" s="11">
        <f t="shared" si="6"/>
        <v>170.73363636363635</v>
      </c>
      <c r="G103" s="11">
        <f t="shared" si="7"/>
        <v>133.85454545454547</v>
      </c>
      <c r="H103" s="12">
        <f t="shared" si="8"/>
        <v>0.78399633666476765</v>
      </c>
    </row>
    <row r="104" spans="1:8">
      <c r="A104" s="9">
        <v>2024</v>
      </c>
      <c r="B104" s="9" t="s">
        <v>140</v>
      </c>
      <c r="C104" s="10">
        <v>89709</v>
      </c>
      <c r="D104" s="11">
        <v>20478486.190000001</v>
      </c>
      <c r="E104" s="11">
        <v>15767582.210000001</v>
      </c>
      <c r="F104" s="11">
        <f t="shared" si="6"/>
        <v>228.27683052982422</v>
      </c>
      <c r="G104" s="11">
        <f t="shared" si="7"/>
        <v>175.76366039081921</v>
      </c>
      <c r="H104" s="12">
        <f t="shared" si="8"/>
        <v>0.7699583877298305</v>
      </c>
    </row>
    <row r="105" spans="1:8">
      <c r="A105" s="9">
        <v>2024</v>
      </c>
      <c r="B105" s="9" t="s">
        <v>141</v>
      </c>
      <c r="C105" s="10">
        <v>1895232029.4000001</v>
      </c>
      <c r="D105" s="11">
        <v>4395077639.3000002</v>
      </c>
      <c r="E105" s="11">
        <v>3417498159.4200001</v>
      </c>
      <c r="F105" s="11">
        <f t="shared" si="6"/>
        <v>2.3190182368812176</v>
      </c>
      <c r="G105" s="11">
        <f t="shared" si="7"/>
        <v>1.8032083177181872</v>
      </c>
      <c r="H105" s="12">
        <f t="shared" si="8"/>
        <v>0.77757401345117116</v>
      </c>
    </row>
    <row r="106" spans="1:8">
      <c r="A106" s="9">
        <v>2024</v>
      </c>
      <c r="B106" s="9" t="s">
        <v>142</v>
      </c>
      <c r="C106" s="10">
        <v>32715508.5</v>
      </c>
      <c r="D106" s="11">
        <v>1313590110.48</v>
      </c>
      <c r="E106" s="11">
        <v>996736025.88</v>
      </c>
      <c r="F106" s="11">
        <f t="shared" si="6"/>
        <v>40.151908703482327</v>
      </c>
      <c r="G106" s="11">
        <f t="shared" si="7"/>
        <v>30.466774675991967</v>
      </c>
      <c r="H106" s="12">
        <f t="shared" si="8"/>
        <v>0.75878770548583219</v>
      </c>
    </row>
    <row r="107" spans="1:8">
      <c r="A107" s="9">
        <v>2024</v>
      </c>
      <c r="B107" s="9" t="s">
        <v>143</v>
      </c>
      <c r="C107" s="10">
        <v>177006048.59999999</v>
      </c>
      <c r="D107" s="11">
        <v>4867475664.8999996</v>
      </c>
      <c r="E107" s="11">
        <v>3595441187.48</v>
      </c>
      <c r="F107" s="11">
        <f t="shared" si="6"/>
        <v>27.498922796133193</v>
      </c>
      <c r="G107" s="11">
        <f t="shared" si="7"/>
        <v>20.312532910132429</v>
      </c>
      <c r="H107" s="12">
        <f t="shared" si="8"/>
        <v>0.73866649471042956</v>
      </c>
    </row>
    <row r="108" spans="1:8">
      <c r="A108" s="9">
        <v>2024</v>
      </c>
      <c r="B108" s="9" t="s">
        <v>144</v>
      </c>
      <c r="C108" s="10">
        <v>101825048.7</v>
      </c>
      <c r="D108" s="11">
        <v>4943044415.3000002</v>
      </c>
      <c r="E108" s="11">
        <v>3635609045.1700001</v>
      </c>
      <c r="F108" s="11">
        <f t="shared" si="6"/>
        <v>48.544483684592628</v>
      </c>
      <c r="G108" s="11">
        <f t="shared" si="7"/>
        <v>35.70446654910365</v>
      </c>
      <c r="H108" s="12">
        <f t="shared" si="8"/>
        <v>0.73549997526157163</v>
      </c>
    </row>
    <row r="109" spans="1:8">
      <c r="A109" s="9">
        <v>2024</v>
      </c>
      <c r="B109" s="9" t="s">
        <v>145</v>
      </c>
      <c r="C109" s="10">
        <v>2442439.9</v>
      </c>
      <c r="D109" s="11">
        <v>584587606.57000005</v>
      </c>
      <c r="E109" s="11">
        <v>452689619</v>
      </c>
      <c r="F109" s="11">
        <f t="shared" si="6"/>
        <v>239.34574872036774</v>
      </c>
      <c r="G109" s="11">
        <f t="shared" si="7"/>
        <v>185.34319677630555</v>
      </c>
      <c r="H109" s="12">
        <f t="shared" si="8"/>
        <v>0.77437430063922119</v>
      </c>
    </row>
    <row r="110" spans="1:8">
      <c r="A110" s="9">
        <v>2024</v>
      </c>
      <c r="B110" s="9" t="s">
        <v>146</v>
      </c>
      <c r="C110" s="10">
        <v>35388068.100000001</v>
      </c>
      <c r="D110" s="11">
        <v>3479396640.1900001</v>
      </c>
      <c r="E110" s="11">
        <v>2603566213.6700001</v>
      </c>
      <c r="F110" s="11">
        <f t="shared" si="6"/>
        <v>98.321180753859792</v>
      </c>
      <c r="G110" s="11">
        <f t="shared" si="7"/>
        <v>73.571866266132787</v>
      </c>
      <c r="H110" s="12">
        <f t="shared" si="8"/>
        <v>0.74828094721843119</v>
      </c>
    </row>
    <row r="111" spans="1:8">
      <c r="A111" s="9">
        <v>2024</v>
      </c>
      <c r="B111" s="9" t="s">
        <v>147</v>
      </c>
      <c r="C111" s="10">
        <v>5098897</v>
      </c>
      <c r="D111" s="11">
        <v>283956441.52999997</v>
      </c>
      <c r="E111" s="11">
        <v>216176805.34999999</v>
      </c>
      <c r="F111" s="11">
        <f t="shared" si="6"/>
        <v>55.689777912752497</v>
      </c>
      <c r="G111" s="11">
        <f t="shared" si="7"/>
        <v>42.396778234586812</v>
      </c>
      <c r="H111" s="12">
        <f t="shared" si="8"/>
        <v>0.76130269905203374</v>
      </c>
    </row>
    <row r="112" spans="1:8">
      <c r="A112" s="9">
        <v>2024</v>
      </c>
      <c r="B112" s="9" t="s">
        <v>148</v>
      </c>
      <c r="C112" s="10">
        <v>362135.1</v>
      </c>
      <c r="D112" s="11">
        <v>35525382.32</v>
      </c>
      <c r="E112" s="11">
        <v>27416685.550000001</v>
      </c>
      <c r="F112" s="11">
        <f t="shared" si="6"/>
        <v>98.099803968187572</v>
      </c>
      <c r="G112" s="11">
        <f t="shared" si="7"/>
        <v>75.708445687810993</v>
      </c>
      <c r="H112" s="12">
        <f t="shared" si="8"/>
        <v>0.77174920464022756</v>
      </c>
    </row>
    <row r="113" spans="1:8">
      <c r="A113" s="9">
        <v>2024</v>
      </c>
      <c r="B113" s="9" t="s">
        <v>181</v>
      </c>
      <c r="C113" s="10">
        <v>154</v>
      </c>
      <c r="D113" s="11">
        <v>31652.85</v>
      </c>
      <c r="E113" s="11">
        <v>25167.42</v>
      </c>
      <c r="F113" s="11">
        <f t="shared" si="6"/>
        <v>205.537987012987</v>
      </c>
      <c r="G113" s="11">
        <f t="shared" si="7"/>
        <v>163.42480519480517</v>
      </c>
      <c r="H113" s="12">
        <f t="shared" si="8"/>
        <v>0.79510754955714891</v>
      </c>
    </row>
    <row r="114" spans="1:8">
      <c r="A114" s="9">
        <v>2024</v>
      </c>
      <c r="B114" s="9" t="s">
        <v>149</v>
      </c>
      <c r="C114" s="10">
        <v>9892620.0999999996</v>
      </c>
      <c r="D114" s="11">
        <v>913164651.85000002</v>
      </c>
      <c r="E114" s="11">
        <v>674257620.60000002</v>
      </c>
      <c r="F114" s="11">
        <f t="shared" si="6"/>
        <v>92.307663957498988</v>
      </c>
      <c r="G114" s="11">
        <f t="shared" si="7"/>
        <v>68.15763809630171</v>
      </c>
      <c r="H114" s="12">
        <f t="shared" si="8"/>
        <v>0.73837463948479276</v>
      </c>
    </row>
    <row r="115" spans="1:8">
      <c r="A115" s="9">
        <v>2024</v>
      </c>
      <c r="B115" s="9" t="s">
        <v>150</v>
      </c>
      <c r="C115" s="10">
        <v>96308.5</v>
      </c>
      <c r="D115" s="11">
        <v>12248692.17</v>
      </c>
      <c r="E115" s="11">
        <v>9293549.2400000002</v>
      </c>
      <c r="F115" s="11">
        <f t="shared" si="6"/>
        <v>127.18183929767362</v>
      </c>
      <c r="G115" s="11">
        <f t="shared" si="7"/>
        <v>96.497705186977271</v>
      </c>
      <c r="H115" s="12">
        <f t="shared" si="8"/>
        <v>0.75873808493303008</v>
      </c>
    </row>
    <row r="116" spans="1:8">
      <c r="A116" s="9">
        <v>2024</v>
      </c>
      <c r="B116" s="9" t="s">
        <v>151</v>
      </c>
      <c r="C116" s="10">
        <v>115552</v>
      </c>
      <c r="D116" s="11">
        <v>8207370.7000000002</v>
      </c>
      <c r="E116" s="11">
        <v>8030760.9900000002</v>
      </c>
      <c r="F116" s="11">
        <f t="shared" si="6"/>
        <v>71.02750882719468</v>
      </c>
      <c r="G116" s="11">
        <f t="shared" si="7"/>
        <v>69.499108539878151</v>
      </c>
      <c r="H116" s="12">
        <f t="shared" si="8"/>
        <v>0.97848157266735858</v>
      </c>
    </row>
    <row r="117" spans="1:8">
      <c r="A117" s="9">
        <v>2024</v>
      </c>
      <c r="B117" s="9" t="s">
        <v>152</v>
      </c>
      <c r="C117" s="10">
        <v>17438168.899999999</v>
      </c>
      <c r="D117" s="11">
        <v>1391375931.6700001</v>
      </c>
      <c r="E117" s="11">
        <v>1053708194.61</v>
      </c>
      <c r="F117" s="11">
        <f t="shared" si="6"/>
        <v>79.789107425722904</v>
      </c>
      <c r="G117" s="11">
        <f t="shared" si="7"/>
        <v>60.425392175780573</v>
      </c>
      <c r="H117" s="12">
        <f t="shared" si="8"/>
        <v>0.75731380040855378</v>
      </c>
    </row>
    <row r="118" spans="1:8">
      <c r="A118" s="9">
        <v>2024</v>
      </c>
      <c r="B118" s="9" t="s">
        <v>153</v>
      </c>
      <c r="C118" s="10">
        <v>14299699</v>
      </c>
      <c r="D118" s="11">
        <v>1883036701.49</v>
      </c>
      <c r="E118" s="11">
        <v>1474563847.3800001</v>
      </c>
      <c r="F118" s="11">
        <f t="shared" si="6"/>
        <v>131.68366001899761</v>
      </c>
      <c r="G118" s="11">
        <f t="shared" si="7"/>
        <v>103.11852350038977</v>
      </c>
      <c r="H118" s="12">
        <f t="shared" si="8"/>
        <v>0.78307759281229861</v>
      </c>
    </row>
    <row r="119" spans="1:8">
      <c r="A119" s="9">
        <v>2024</v>
      </c>
      <c r="B119" s="9" t="s">
        <v>154</v>
      </c>
      <c r="C119" s="10">
        <v>132013</v>
      </c>
      <c r="D119" s="11">
        <v>32287345.23</v>
      </c>
      <c r="E119" s="11">
        <v>25178903.23</v>
      </c>
      <c r="F119" s="11">
        <f t="shared" si="6"/>
        <v>244.57701309719496</v>
      </c>
      <c r="G119" s="11">
        <f t="shared" si="7"/>
        <v>190.73048283123632</v>
      </c>
      <c r="H119" s="12">
        <f t="shared" si="8"/>
        <v>0.77983813938982061</v>
      </c>
    </row>
    <row r="120" spans="1:8">
      <c r="A120" s="9">
        <v>2024</v>
      </c>
      <c r="B120" s="9" t="s">
        <v>155</v>
      </c>
      <c r="C120" s="10">
        <v>551015.80000000005</v>
      </c>
      <c r="D120" s="11">
        <v>16900434.940000001</v>
      </c>
      <c r="E120" s="11">
        <v>15648009.82</v>
      </c>
      <c r="F120" s="11">
        <f t="shared" si="6"/>
        <v>30.671416209843709</v>
      </c>
      <c r="G120" s="11">
        <f t="shared" si="7"/>
        <v>28.398477539119565</v>
      </c>
      <c r="H120" s="12">
        <f t="shared" si="8"/>
        <v>0.92589391193502613</v>
      </c>
    </row>
    <row r="121" spans="1:8">
      <c r="A121" s="9">
        <v>2024</v>
      </c>
      <c r="B121" s="9" t="s">
        <v>156</v>
      </c>
      <c r="C121" s="10">
        <v>79</v>
      </c>
      <c r="D121" s="11">
        <v>21484</v>
      </c>
      <c r="E121" s="11">
        <v>16180.53</v>
      </c>
      <c r="F121" s="11">
        <f t="shared" si="6"/>
        <v>271.94936708860757</v>
      </c>
      <c r="G121" s="11">
        <f t="shared" si="7"/>
        <v>204.81683544303797</v>
      </c>
      <c r="H121" s="12">
        <f t="shared" si="8"/>
        <v>0.75314326940979337</v>
      </c>
    </row>
    <row r="122" spans="1:8">
      <c r="A122" s="9">
        <v>2024</v>
      </c>
      <c r="B122" s="9" t="s">
        <v>157</v>
      </c>
      <c r="C122" s="10">
        <v>210906117.59999999</v>
      </c>
      <c r="D122" s="11">
        <v>3323037232.0599999</v>
      </c>
      <c r="E122" s="11">
        <v>2555525689.3400002</v>
      </c>
      <c r="F122" s="11">
        <f t="shared" si="6"/>
        <v>15.756002101192726</v>
      </c>
      <c r="G122" s="11">
        <f t="shared" si="7"/>
        <v>12.116887449356756</v>
      </c>
      <c r="H122" s="12">
        <f t="shared" si="8"/>
        <v>0.76903311966679111</v>
      </c>
    </row>
    <row r="123" spans="1:8">
      <c r="A123" s="9">
        <v>2024</v>
      </c>
      <c r="B123" s="9" t="s">
        <v>158</v>
      </c>
      <c r="C123" s="10">
        <v>466915.7</v>
      </c>
      <c r="D123" s="11">
        <v>30044895.34</v>
      </c>
      <c r="E123" s="11">
        <v>23186568.129999999</v>
      </c>
      <c r="F123" s="11">
        <f t="shared" si="6"/>
        <v>64.347579959294578</v>
      </c>
      <c r="G123" s="11">
        <f t="shared" si="7"/>
        <v>49.659002963489982</v>
      </c>
      <c r="H123" s="12">
        <f t="shared" si="8"/>
        <v>0.77173070059361371</v>
      </c>
    </row>
    <row r="124" spans="1:8">
      <c r="A124" s="9">
        <v>2024</v>
      </c>
      <c r="B124" s="9" t="s">
        <v>159</v>
      </c>
      <c r="C124" s="10">
        <v>102669</v>
      </c>
      <c r="D124" s="11">
        <v>156218.44</v>
      </c>
      <c r="E124" s="11">
        <v>120681.98</v>
      </c>
      <c r="F124" s="11">
        <f t="shared" si="6"/>
        <v>1.5215736005999865</v>
      </c>
      <c r="G124" s="11">
        <f t="shared" si="7"/>
        <v>1.1754471164616389</v>
      </c>
      <c r="H124" s="12">
        <f t="shared" si="8"/>
        <v>0.77252070882285084</v>
      </c>
    </row>
    <row r="125" spans="1:8">
      <c r="A125" s="9">
        <v>2024</v>
      </c>
      <c r="B125" s="9" t="s">
        <v>160</v>
      </c>
      <c r="C125" s="10">
        <v>849073</v>
      </c>
      <c r="D125" s="11">
        <v>76619672.620000005</v>
      </c>
      <c r="E125" s="11">
        <v>56528360.049999997</v>
      </c>
      <c r="F125" s="11">
        <f t="shared" si="6"/>
        <v>90.239205133127541</v>
      </c>
      <c r="G125" s="11">
        <f t="shared" si="7"/>
        <v>66.576560613751695</v>
      </c>
      <c r="H125" s="12">
        <f t="shared" si="8"/>
        <v>0.73777866854581708</v>
      </c>
    </row>
    <row r="126" spans="1:8">
      <c r="A126" s="9">
        <v>2024</v>
      </c>
      <c r="B126" s="9" t="s">
        <v>161</v>
      </c>
      <c r="C126" s="10">
        <v>42719</v>
      </c>
      <c r="D126" s="11">
        <v>1895954.5</v>
      </c>
      <c r="E126" s="11">
        <v>1444395.76</v>
      </c>
      <c r="F126" s="11">
        <f t="shared" si="6"/>
        <v>44.381996301411547</v>
      </c>
      <c r="G126" s="11">
        <f t="shared" si="7"/>
        <v>33.81155364123692</v>
      </c>
      <c r="H126" s="12">
        <f t="shared" si="8"/>
        <v>0.76183039202681291</v>
      </c>
    </row>
    <row r="127" spans="1:8">
      <c r="A127" s="9">
        <v>2024</v>
      </c>
      <c r="B127" s="9" t="s">
        <v>162</v>
      </c>
      <c r="C127" s="10"/>
      <c r="D127" s="11"/>
      <c r="E127" s="11"/>
      <c r="F127" s="11">
        <f t="shared" si="6"/>
        <v>0</v>
      </c>
      <c r="G127" s="11">
        <f t="shared" si="7"/>
        <v>0</v>
      </c>
      <c r="H127" s="12">
        <f t="shared" si="8"/>
        <v>0</v>
      </c>
    </row>
    <row r="128" spans="1:8">
      <c r="A128" s="9">
        <v>2024</v>
      </c>
      <c r="B128" s="9" t="s">
        <v>163</v>
      </c>
      <c r="C128" s="10">
        <v>2020804</v>
      </c>
      <c r="D128" s="11">
        <v>121815115.61</v>
      </c>
      <c r="E128" s="11">
        <v>93802608.560000002</v>
      </c>
      <c r="F128" s="11">
        <f t="shared" si="6"/>
        <v>60.280519837648775</v>
      </c>
      <c r="G128" s="11">
        <f t="shared" si="7"/>
        <v>46.418459464648727</v>
      </c>
      <c r="H128" s="12">
        <f t="shared" si="8"/>
        <v>0.77004079576065021</v>
      </c>
    </row>
    <row r="129" spans="1:8">
      <c r="A129" s="9">
        <v>2024</v>
      </c>
      <c r="B129" s="9" t="s">
        <v>164</v>
      </c>
      <c r="C129" s="10">
        <v>7909514.9000000004</v>
      </c>
      <c r="D129" s="11">
        <v>221082839.06999999</v>
      </c>
      <c r="E129" s="11">
        <v>162848140.56</v>
      </c>
      <c r="F129" s="11">
        <f t="shared" si="6"/>
        <v>27.95150421551137</v>
      </c>
      <c r="G129" s="11">
        <f t="shared" si="7"/>
        <v>20.588891053230078</v>
      </c>
      <c r="H129" s="12">
        <f t="shared" si="8"/>
        <v>0.73659331156154761</v>
      </c>
    </row>
    <row r="130" spans="1:8">
      <c r="A130" s="9">
        <v>2024</v>
      </c>
      <c r="B130" s="9" t="s">
        <v>165</v>
      </c>
      <c r="C130" s="10">
        <v>586818</v>
      </c>
      <c r="D130" s="11">
        <v>106474249.98</v>
      </c>
      <c r="E130" s="11">
        <v>82093190.269999996</v>
      </c>
      <c r="F130" s="11">
        <f t="shared" si="6"/>
        <v>181.44339468114475</v>
      </c>
      <c r="G130" s="11">
        <f t="shared" si="7"/>
        <v>139.89548764693652</v>
      </c>
      <c r="H130" s="12">
        <f t="shared" si="8"/>
        <v>0.771014496795425</v>
      </c>
    </row>
    <row r="131" spans="1:8">
      <c r="A131" s="9">
        <v>2024</v>
      </c>
      <c r="B131" s="9" t="s">
        <v>166</v>
      </c>
      <c r="C131" s="10">
        <v>893146</v>
      </c>
      <c r="D131" s="11">
        <v>319442892.43000001</v>
      </c>
      <c r="E131" s="11">
        <v>249052537.44999999</v>
      </c>
      <c r="F131" s="11">
        <f t="shared" ref="F131:F136" si="9">IFERROR(D131/C131,0)</f>
        <v>357.66032925188046</v>
      </c>
      <c r="G131" s="11">
        <f t="shared" ref="G131:G136" si="10">IFERROR(E131/C131,0)</f>
        <v>278.84862883559907</v>
      </c>
      <c r="H131" s="12">
        <f t="shared" ref="H131:H136" si="11">IFERROR(E131/D131,0)</f>
        <v>0.77964651382742922</v>
      </c>
    </row>
    <row r="132" spans="1:8">
      <c r="A132" s="9">
        <v>2024</v>
      </c>
      <c r="B132" s="9" t="s">
        <v>167</v>
      </c>
      <c r="C132" s="10">
        <v>216845</v>
      </c>
      <c r="D132" s="11">
        <v>29991694.140000001</v>
      </c>
      <c r="E132" s="11">
        <v>23345801.149999999</v>
      </c>
      <c r="F132" s="11">
        <f t="shared" si="9"/>
        <v>138.30936447693054</v>
      </c>
      <c r="G132" s="11">
        <f t="shared" si="10"/>
        <v>107.66123798104637</v>
      </c>
      <c r="H132" s="12">
        <f t="shared" si="11"/>
        <v>0.77840888350697213</v>
      </c>
    </row>
    <row r="133" spans="1:8">
      <c r="A133" s="9">
        <v>2024</v>
      </c>
      <c r="B133" s="9" t="s">
        <v>168</v>
      </c>
      <c r="C133" s="10">
        <v>692172</v>
      </c>
      <c r="D133" s="11">
        <v>59728211.460000001</v>
      </c>
      <c r="E133" s="11">
        <v>46052423.659999996</v>
      </c>
      <c r="F133" s="11">
        <f t="shared" si="9"/>
        <v>86.290996255266037</v>
      </c>
      <c r="G133" s="11">
        <f t="shared" si="10"/>
        <v>66.533208017660343</v>
      </c>
      <c r="H133" s="12">
        <f t="shared" si="11"/>
        <v>0.77103302667687135</v>
      </c>
    </row>
    <row r="134" spans="1:8">
      <c r="A134" s="9">
        <v>2024</v>
      </c>
      <c r="B134" s="9" t="s">
        <v>169</v>
      </c>
      <c r="C134" s="10">
        <v>18409</v>
      </c>
      <c r="D134" s="11">
        <v>1849035.82</v>
      </c>
      <c r="E134" s="11">
        <v>1396701.13</v>
      </c>
      <c r="F134" s="11">
        <f t="shared" si="9"/>
        <v>100.44194796023685</v>
      </c>
      <c r="G134" s="11">
        <f t="shared" si="10"/>
        <v>75.870559508935841</v>
      </c>
      <c r="H134" s="12">
        <f t="shared" si="11"/>
        <v>0.75536726486996875</v>
      </c>
    </row>
    <row r="135" spans="1:8">
      <c r="A135" s="9">
        <v>2024</v>
      </c>
      <c r="B135" s="9" t="s">
        <v>170</v>
      </c>
      <c r="C135" s="10">
        <v>63567858.600000001</v>
      </c>
      <c r="D135" s="11">
        <v>2149275723.1799998</v>
      </c>
      <c r="E135" s="11">
        <v>1620319771.8699999</v>
      </c>
      <c r="F135" s="11">
        <f t="shared" si="9"/>
        <v>33.810730304827345</v>
      </c>
      <c r="G135" s="11">
        <f t="shared" si="10"/>
        <v>25.489607602890054</v>
      </c>
      <c r="H135" s="12">
        <f t="shared" si="11"/>
        <v>0.75389106869574951</v>
      </c>
    </row>
    <row r="136" spans="1:8">
      <c r="A136" s="9">
        <v>2024</v>
      </c>
      <c r="B136" s="9" t="s">
        <v>171</v>
      </c>
      <c r="C136" s="10">
        <v>6936448.2000000002</v>
      </c>
      <c r="D136" s="11">
        <v>1135016763.5699999</v>
      </c>
      <c r="E136" s="11">
        <v>874991555.60000002</v>
      </c>
      <c r="F136" s="11">
        <f t="shared" si="9"/>
        <v>163.63082817658753</v>
      </c>
      <c r="G136" s="11">
        <f t="shared" si="10"/>
        <v>126.14403371454573</v>
      </c>
      <c r="H136" s="12">
        <f t="shared" si="11"/>
        <v>0.77090628410444317</v>
      </c>
    </row>
  </sheetData>
  <conditionalFormatting sqref="E2:E136">
    <cfRule type="dataBar" priority="9">
      <dataBar>
        <cfvo type="min"/>
        <cfvo type="max"/>
        <color rgb="FF2A7F89"/>
      </dataBar>
    </cfRule>
    <cfRule type="dataBar" priority="10">
      <dataBar>
        <cfvo type="min"/>
        <cfvo type="max"/>
        <color rgb="FF2A7F89"/>
      </dataBar>
      <extLst>
        <ext xmlns:x14="http://schemas.microsoft.com/office/spreadsheetml/2009/9/main" uri="{B025F937-C7B1-47D3-B67F-A62EFF666E3E}">
          <x14:id>{52C8A84A-B05D-4B8A-AD48-960364CAD944}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2C8A84A-B05D-4B8A-AD48-960364CAD944}">
            <x14:dataBar>
              <x14:cfvo type="min"/>
              <x14:cfvo type="max"/>
              <x14:negativeFillColor auto="1"/>
              <x14:axisColor auto="1"/>
            </x14:dataBar>
          </x14:cfRule>
          <xm:sqref>E2:E136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91"/>
  <sheetViews>
    <sheetView workbookViewId="0"/>
  </sheetViews>
  <sheetFormatPr defaultRowHeight="13.8"/>
  <cols>
    <col min="1" max="1" width="9" customWidth="1"/>
    <col min="2" max="2" width="40" customWidth="1"/>
    <col min="3" max="7" width="18" customWidth="1"/>
    <col min="8" max="8" width="14" customWidth="1"/>
  </cols>
  <sheetData>
    <row r="1" spans="1:8" ht="24" customHeight="1">
      <c r="A1" s="5" t="s">
        <v>38</v>
      </c>
      <c r="B1" s="5" t="s">
        <v>39</v>
      </c>
      <c r="C1" s="5" t="s">
        <v>40</v>
      </c>
      <c r="D1" s="5" t="s">
        <v>41</v>
      </c>
      <c r="E1" s="5" t="s">
        <v>42</v>
      </c>
      <c r="F1" s="5" t="s">
        <v>43</v>
      </c>
      <c r="G1" s="5" t="s">
        <v>44</v>
      </c>
      <c r="H1" s="5" t="s">
        <v>45</v>
      </c>
    </row>
    <row r="2" spans="1:8">
      <c r="A2" s="9">
        <v>2022</v>
      </c>
      <c r="B2" s="9" t="s">
        <v>46</v>
      </c>
      <c r="C2" s="10">
        <v>110473</v>
      </c>
      <c r="D2" s="11">
        <v>9737743.5099999998</v>
      </c>
      <c r="E2" s="11">
        <v>7452820.8600000003</v>
      </c>
      <c r="F2" s="11">
        <f t="shared" ref="F2:F65" si="0">IFERROR(D2/C2,0)</f>
        <v>88.145913571641941</v>
      </c>
      <c r="G2" s="11">
        <f t="shared" ref="G2:G65" si="1">IFERROR(E2/C2,0)</f>
        <v>67.462826754048507</v>
      </c>
      <c r="H2" s="12">
        <f t="shared" ref="H2:H65" si="2">IFERROR(E2/D2,0)</f>
        <v>0.76535399113218172</v>
      </c>
    </row>
    <row r="3" spans="1:8">
      <c r="A3" s="9">
        <v>2022</v>
      </c>
      <c r="B3" s="9" t="s">
        <v>47</v>
      </c>
      <c r="C3" s="10">
        <v>29627</v>
      </c>
      <c r="D3" s="11">
        <v>2637586.25</v>
      </c>
      <c r="E3" s="11">
        <v>1990949.94</v>
      </c>
      <c r="F3" s="11">
        <f t="shared" si="0"/>
        <v>89.026437033786749</v>
      </c>
      <c r="G3" s="11">
        <f t="shared" si="1"/>
        <v>67.200524521551287</v>
      </c>
      <c r="H3" s="12">
        <f t="shared" si="2"/>
        <v>0.75483785222189415</v>
      </c>
    </row>
    <row r="4" spans="1:8">
      <c r="A4" s="9">
        <v>2022</v>
      </c>
      <c r="B4" s="9" t="s">
        <v>48</v>
      </c>
      <c r="C4" s="10">
        <v>1001712</v>
      </c>
      <c r="D4" s="11">
        <v>83795130.280000001</v>
      </c>
      <c r="E4" s="11">
        <v>63374430.060000002</v>
      </c>
      <c r="F4" s="11">
        <f t="shared" si="0"/>
        <v>83.651918196048371</v>
      </c>
      <c r="G4" s="11">
        <f t="shared" si="1"/>
        <v>63.266118465187603</v>
      </c>
      <c r="H4" s="12">
        <f t="shared" si="2"/>
        <v>0.75630206490801344</v>
      </c>
    </row>
    <row r="5" spans="1:8">
      <c r="A5" s="9">
        <v>2022</v>
      </c>
      <c r="B5" s="9" t="s">
        <v>49</v>
      </c>
      <c r="C5" s="10">
        <v>12438447.199999999</v>
      </c>
      <c r="D5" s="11">
        <v>153766231.09</v>
      </c>
      <c r="E5" s="11">
        <v>129208307.41</v>
      </c>
      <c r="F5" s="11">
        <f t="shared" si="0"/>
        <v>12.362172594180407</v>
      </c>
      <c r="G5" s="11">
        <f t="shared" si="1"/>
        <v>10.387816528256035</v>
      </c>
      <c r="H5" s="12">
        <f t="shared" si="2"/>
        <v>0.84029052734194831</v>
      </c>
    </row>
    <row r="6" spans="1:8">
      <c r="A6" s="9">
        <v>2022</v>
      </c>
      <c r="B6" s="9" t="s">
        <v>50</v>
      </c>
      <c r="C6" s="10">
        <v>20865913</v>
      </c>
      <c r="D6" s="11">
        <v>505674195.69</v>
      </c>
      <c r="E6" s="11">
        <v>383640173.69999999</v>
      </c>
      <c r="F6" s="11">
        <f t="shared" si="0"/>
        <v>24.234462958318669</v>
      </c>
      <c r="G6" s="11">
        <f t="shared" si="1"/>
        <v>18.385975907212877</v>
      </c>
      <c r="H6" s="12">
        <f t="shared" si="2"/>
        <v>0.75867065586868088</v>
      </c>
    </row>
    <row r="7" spans="1:8">
      <c r="A7" s="9">
        <v>2022</v>
      </c>
      <c r="B7" s="9" t="s">
        <v>51</v>
      </c>
      <c r="C7" s="10">
        <v>121043909.40000001</v>
      </c>
      <c r="D7" s="11">
        <v>5374935011.3299999</v>
      </c>
      <c r="E7" s="11">
        <v>4198197303</v>
      </c>
      <c r="F7" s="11">
        <f t="shared" si="0"/>
        <v>44.404836542151536</v>
      </c>
      <c r="G7" s="11">
        <f t="shared" si="1"/>
        <v>34.68325935447686</v>
      </c>
      <c r="H7" s="12">
        <f t="shared" si="2"/>
        <v>0.78106940719292117</v>
      </c>
    </row>
    <row r="8" spans="1:8">
      <c r="A8" s="9">
        <v>2022</v>
      </c>
      <c r="B8" s="9" t="s">
        <v>52</v>
      </c>
      <c r="C8" s="10">
        <v>26991705.699999999</v>
      </c>
      <c r="D8" s="11">
        <v>6117828507.3299999</v>
      </c>
      <c r="E8" s="11">
        <v>4785858772.4399996</v>
      </c>
      <c r="F8" s="11">
        <f t="shared" si="0"/>
        <v>226.6558688556685</v>
      </c>
      <c r="G8" s="11">
        <f t="shared" si="1"/>
        <v>177.30849712250676</v>
      </c>
      <c r="H8" s="12">
        <f t="shared" si="2"/>
        <v>0.78228063547480653</v>
      </c>
    </row>
    <row r="9" spans="1:8">
      <c r="A9" s="9">
        <v>2022</v>
      </c>
      <c r="B9" s="9" t="s">
        <v>53</v>
      </c>
      <c r="C9" s="10">
        <v>340137</v>
      </c>
      <c r="D9" s="11">
        <v>42192232.329999998</v>
      </c>
      <c r="E9" s="11">
        <v>33147398.989999998</v>
      </c>
      <c r="F9" s="11">
        <f t="shared" si="0"/>
        <v>124.04481820560538</v>
      </c>
      <c r="G9" s="11">
        <f t="shared" si="1"/>
        <v>97.453082111031733</v>
      </c>
      <c r="H9" s="12">
        <f t="shared" si="2"/>
        <v>0.78562799737029221</v>
      </c>
    </row>
    <row r="10" spans="1:8">
      <c r="A10" s="9">
        <v>2022</v>
      </c>
      <c r="B10" s="9" t="s">
        <v>54</v>
      </c>
      <c r="C10" s="10">
        <v>17566189.199999999</v>
      </c>
      <c r="D10" s="11">
        <v>1839636506.3900001</v>
      </c>
      <c r="E10" s="11">
        <v>1436352546.1099999</v>
      </c>
      <c r="F10" s="11">
        <f t="shared" si="0"/>
        <v>104.72598726136914</v>
      </c>
      <c r="G10" s="11">
        <f t="shared" si="1"/>
        <v>81.768022065366338</v>
      </c>
      <c r="H10" s="12">
        <f t="shared" si="2"/>
        <v>0.78078062765161027</v>
      </c>
    </row>
    <row r="11" spans="1:8">
      <c r="A11" s="9">
        <v>2022</v>
      </c>
      <c r="B11" s="9" t="s">
        <v>55</v>
      </c>
      <c r="C11" s="10">
        <v>2150367.6</v>
      </c>
      <c r="D11" s="11">
        <v>73552856.439999998</v>
      </c>
      <c r="E11" s="11">
        <v>52050209.689999998</v>
      </c>
      <c r="F11" s="11">
        <f t="shared" si="0"/>
        <v>34.204782679947371</v>
      </c>
      <c r="G11" s="11">
        <f t="shared" si="1"/>
        <v>24.205261319041448</v>
      </c>
      <c r="H11" s="12">
        <f t="shared" si="2"/>
        <v>0.70765721699006257</v>
      </c>
    </row>
    <row r="12" spans="1:8">
      <c r="A12" s="9">
        <v>2022</v>
      </c>
      <c r="B12" s="9" t="s">
        <v>56</v>
      </c>
      <c r="C12" s="10">
        <v>9023130.4000000004</v>
      </c>
      <c r="D12" s="11">
        <v>749966817.23000002</v>
      </c>
      <c r="E12" s="11">
        <v>566375320.22000003</v>
      </c>
      <c r="F12" s="11">
        <f t="shared" si="0"/>
        <v>83.116034456290251</v>
      </c>
      <c r="G12" s="11">
        <f t="shared" si="1"/>
        <v>62.769271318521561</v>
      </c>
      <c r="H12" s="12">
        <f t="shared" si="2"/>
        <v>0.7552005064862809</v>
      </c>
    </row>
    <row r="13" spans="1:8">
      <c r="A13" s="9">
        <v>2022</v>
      </c>
      <c r="B13" s="9" t="s">
        <v>57</v>
      </c>
      <c r="C13" s="10">
        <v>542327.1</v>
      </c>
      <c r="D13" s="11">
        <v>187867832.30000001</v>
      </c>
      <c r="E13" s="11">
        <v>147336983.66999999</v>
      </c>
      <c r="F13" s="11">
        <f t="shared" si="0"/>
        <v>346.41055610165898</v>
      </c>
      <c r="G13" s="11">
        <f t="shared" si="1"/>
        <v>271.67549560034894</v>
      </c>
      <c r="H13" s="12">
        <f t="shared" si="2"/>
        <v>0.78425870925429297</v>
      </c>
    </row>
    <row r="14" spans="1:8">
      <c r="A14" s="9">
        <v>2022</v>
      </c>
      <c r="B14" s="9" t="s">
        <v>58</v>
      </c>
      <c r="C14" s="10">
        <v>60161275.700000003</v>
      </c>
      <c r="D14" s="11">
        <v>4978172434.6300001</v>
      </c>
      <c r="E14" s="11">
        <v>3719642781.6399999</v>
      </c>
      <c r="F14" s="11">
        <f t="shared" si="0"/>
        <v>82.747122242788478</v>
      </c>
      <c r="G14" s="11">
        <f t="shared" si="1"/>
        <v>61.82785751067442</v>
      </c>
      <c r="H14" s="12">
        <f t="shared" si="2"/>
        <v>0.74719042590103857</v>
      </c>
    </row>
    <row r="15" spans="1:8">
      <c r="A15" s="9">
        <v>2022</v>
      </c>
      <c r="B15" s="9" t="s">
        <v>59</v>
      </c>
      <c r="C15" s="10">
        <v>31444417</v>
      </c>
      <c r="D15" s="11">
        <v>790175265.72000003</v>
      </c>
      <c r="E15" s="11">
        <v>776297889.99000001</v>
      </c>
      <c r="F15" s="11">
        <f t="shared" si="0"/>
        <v>25.129270665759204</v>
      </c>
      <c r="G15" s="11">
        <f t="shared" si="1"/>
        <v>24.687940310357799</v>
      </c>
      <c r="H15" s="12">
        <f t="shared" si="2"/>
        <v>0.9824375979203106</v>
      </c>
    </row>
    <row r="16" spans="1:8">
      <c r="A16" s="9">
        <v>2022</v>
      </c>
      <c r="B16" s="9" t="s">
        <v>60</v>
      </c>
      <c r="C16" s="10">
        <v>928976.6</v>
      </c>
      <c r="D16" s="11">
        <v>61154259.539999999</v>
      </c>
      <c r="E16" s="11">
        <v>44791293.890000001</v>
      </c>
      <c r="F16" s="11">
        <f t="shared" si="0"/>
        <v>65.829709316682468</v>
      </c>
      <c r="G16" s="11">
        <f t="shared" si="1"/>
        <v>48.215739653722174</v>
      </c>
      <c r="H16" s="12">
        <f t="shared" si="2"/>
        <v>0.73243130121954547</v>
      </c>
    </row>
    <row r="17" spans="1:8">
      <c r="A17" s="9">
        <v>2022</v>
      </c>
      <c r="B17" s="9" t="s">
        <v>61</v>
      </c>
      <c r="C17" s="10">
        <v>102610</v>
      </c>
      <c r="D17" s="11">
        <v>5754007.25</v>
      </c>
      <c r="E17" s="11">
        <v>4311143.21</v>
      </c>
      <c r="F17" s="11">
        <f t="shared" si="0"/>
        <v>56.076476464282237</v>
      </c>
      <c r="G17" s="11">
        <f t="shared" si="1"/>
        <v>42.014844654517105</v>
      </c>
      <c r="H17" s="12">
        <f t="shared" si="2"/>
        <v>0.74924188008278925</v>
      </c>
    </row>
    <row r="18" spans="1:8">
      <c r="A18" s="9">
        <v>2022</v>
      </c>
      <c r="B18" s="9" t="s">
        <v>62</v>
      </c>
      <c r="C18" s="10">
        <v>7639857.2999999998</v>
      </c>
      <c r="D18" s="11">
        <v>1087377627.71</v>
      </c>
      <c r="E18" s="11">
        <v>856288936.14999998</v>
      </c>
      <c r="F18" s="11">
        <f t="shared" si="0"/>
        <v>142.32957305498363</v>
      </c>
      <c r="G18" s="11">
        <f t="shared" si="1"/>
        <v>112.08179714953576</v>
      </c>
      <c r="H18" s="12">
        <f t="shared" si="2"/>
        <v>0.78748073744475577</v>
      </c>
    </row>
    <row r="19" spans="1:8">
      <c r="A19" s="9">
        <v>2022</v>
      </c>
      <c r="B19" s="9" t="s">
        <v>63</v>
      </c>
      <c r="C19" s="10">
        <v>17924869</v>
      </c>
      <c r="D19" s="11">
        <v>671731233.96000004</v>
      </c>
      <c r="E19" s="11">
        <v>469076842.44999999</v>
      </c>
      <c r="F19" s="11">
        <f t="shared" si="0"/>
        <v>37.474819702169093</v>
      </c>
      <c r="G19" s="11">
        <f t="shared" si="1"/>
        <v>26.169052752909938</v>
      </c>
      <c r="H19" s="12">
        <f t="shared" si="2"/>
        <v>0.69831030438273822</v>
      </c>
    </row>
    <row r="20" spans="1:8">
      <c r="A20" s="9">
        <v>2022</v>
      </c>
      <c r="B20" s="9" t="s">
        <v>64</v>
      </c>
      <c r="C20" s="10">
        <v>315409930.89999998</v>
      </c>
      <c r="D20" s="11">
        <v>6677794206.2399998</v>
      </c>
      <c r="E20" s="11">
        <v>6447932119.8000002</v>
      </c>
      <c r="F20" s="11">
        <f t="shared" si="0"/>
        <v>21.171794392095979</v>
      </c>
      <c r="G20" s="11">
        <f t="shared" si="1"/>
        <v>20.443021883937771</v>
      </c>
      <c r="H20" s="12">
        <f t="shared" si="2"/>
        <v>0.96557814162269229</v>
      </c>
    </row>
    <row r="21" spans="1:8">
      <c r="A21" s="9">
        <v>2022</v>
      </c>
      <c r="B21" s="9" t="s">
        <v>65</v>
      </c>
      <c r="C21" s="10">
        <v>6984398.5999999996</v>
      </c>
      <c r="D21" s="11">
        <v>744745414.74000001</v>
      </c>
      <c r="E21" s="11">
        <v>569045062.10000002</v>
      </c>
      <c r="F21" s="11">
        <f t="shared" si="0"/>
        <v>106.62985568148989</v>
      </c>
      <c r="G21" s="11">
        <f t="shared" si="1"/>
        <v>81.473738068156649</v>
      </c>
      <c r="H21" s="12">
        <f t="shared" si="2"/>
        <v>0.764079980671866</v>
      </c>
    </row>
    <row r="22" spans="1:8">
      <c r="A22" s="9">
        <v>2022</v>
      </c>
      <c r="B22" s="9" t="s">
        <v>66</v>
      </c>
      <c r="C22" s="10">
        <v>785563.8</v>
      </c>
      <c r="D22" s="11">
        <v>156410438.77000001</v>
      </c>
      <c r="E22" s="11">
        <v>120225319.06</v>
      </c>
      <c r="F22" s="11">
        <f t="shared" si="0"/>
        <v>199.10596538435198</v>
      </c>
      <c r="G22" s="11">
        <f t="shared" si="1"/>
        <v>153.04335441628038</v>
      </c>
      <c r="H22" s="12">
        <f t="shared" si="2"/>
        <v>0.7686527830587454</v>
      </c>
    </row>
    <row r="23" spans="1:8">
      <c r="A23" s="9">
        <v>2022</v>
      </c>
      <c r="B23" s="9" t="s">
        <v>67</v>
      </c>
      <c r="C23" s="10">
        <v>2815858</v>
      </c>
      <c r="D23" s="11">
        <v>351332426.67000002</v>
      </c>
      <c r="E23" s="11">
        <v>273416443.25999999</v>
      </c>
      <c r="F23" s="11">
        <f t="shared" si="0"/>
        <v>124.76922723731097</v>
      </c>
      <c r="G23" s="11">
        <f t="shared" si="1"/>
        <v>97.09880372518785</v>
      </c>
      <c r="H23" s="12">
        <f t="shared" si="2"/>
        <v>0.77822717889007997</v>
      </c>
    </row>
    <row r="24" spans="1:8">
      <c r="A24" s="9">
        <v>2022</v>
      </c>
      <c r="B24" s="9" t="s">
        <v>68</v>
      </c>
      <c r="C24" s="10">
        <v>60042</v>
      </c>
      <c r="D24" s="11">
        <v>12695293.720000001</v>
      </c>
      <c r="E24" s="11">
        <v>9863939.9800000004</v>
      </c>
      <c r="F24" s="11">
        <f t="shared" si="0"/>
        <v>211.44022051230806</v>
      </c>
      <c r="G24" s="11">
        <f t="shared" si="1"/>
        <v>164.28400086606044</v>
      </c>
      <c r="H24" s="12">
        <f t="shared" si="2"/>
        <v>0.77697611394846877</v>
      </c>
    </row>
    <row r="25" spans="1:8">
      <c r="A25" s="9">
        <v>2022</v>
      </c>
      <c r="B25" s="9" t="s">
        <v>69</v>
      </c>
      <c r="C25" s="10">
        <v>8294</v>
      </c>
      <c r="D25" s="11">
        <v>707796.96</v>
      </c>
      <c r="E25" s="11">
        <v>533992.07999999996</v>
      </c>
      <c r="F25" s="11">
        <f t="shared" si="0"/>
        <v>85.338432601880868</v>
      </c>
      <c r="G25" s="11">
        <f t="shared" si="1"/>
        <v>64.38293706293706</v>
      </c>
      <c r="H25" s="12">
        <f t="shared" si="2"/>
        <v>0.75444246044797925</v>
      </c>
    </row>
    <row r="26" spans="1:8">
      <c r="A26" s="9">
        <v>2022</v>
      </c>
      <c r="B26" s="9" t="s">
        <v>70</v>
      </c>
      <c r="C26" s="10">
        <v>49521130.600000001</v>
      </c>
      <c r="D26" s="11">
        <v>3848698071.9099998</v>
      </c>
      <c r="E26" s="11">
        <v>2826715470.6300001</v>
      </c>
      <c r="F26" s="11">
        <f t="shared" si="0"/>
        <v>77.718299749602238</v>
      </c>
      <c r="G26" s="11">
        <f t="shared" si="1"/>
        <v>57.080996261220257</v>
      </c>
      <c r="H26" s="12">
        <f t="shared" si="2"/>
        <v>0.73446017791340579</v>
      </c>
    </row>
    <row r="27" spans="1:8">
      <c r="A27" s="9">
        <v>2022</v>
      </c>
      <c r="B27" s="9" t="s">
        <v>71</v>
      </c>
      <c r="C27" s="10">
        <v>202829002.90000001</v>
      </c>
      <c r="D27" s="11">
        <v>5150944412.6599998</v>
      </c>
      <c r="E27" s="11">
        <v>4021732908.8699999</v>
      </c>
      <c r="F27" s="11">
        <f t="shared" si="0"/>
        <v>25.395502314822057</v>
      </c>
      <c r="G27" s="11">
        <f t="shared" si="1"/>
        <v>19.828194446396896</v>
      </c>
      <c r="H27" s="12">
        <f t="shared" si="2"/>
        <v>0.78077583190091859</v>
      </c>
    </row>
    <row r="28" spans="1:8">
      <c r="A28" s="9">
        <v>2022</v>
      </c>
      <c r="B28" s="9" t="s">
        <v>72</v>
      </c>
      <c r="C28" s="10">
        <v>29099648.100000001</v>
      </c>
      <c r="D28" s="11">
        <v>2710935849.5999999</v>
      </c>
      <c r="E28" s="11">
        <v>2214678928.4699998</v>
      </c>
      <c r="F28" s="11">
        <f t="shared" si="0"/>
        <v>93.160434115352743</v>
      </c>
      <c r="G28" s="11">
        <f t="shared" si="1"/>
        <v>76.106725444215925</v>
      </c>
      <c r="H28" s="12">
        <f t="shared" si="2"/>
        <v>0.81694258047337298</v>
      </c>
    </row>
    <row r="29" spans="1:8">
      <c r="A29" s="9">
        <v>2022</v>
      </c>
      <c r="B29" s="9" t="s">
        <v>73</v>
      </c>
      <c r="C29" s="10">
        <v>17687445.5</v>
      </c>
      <c r="D29" s="11">
        <v>695903521.00999999</v>
      </c>
      <c r="E29" s="11">
        <v>514143997.83999997</v>
      </c>
      <c r="F29" s="11">
        <f t="shared" si="0"/>
        <v>39.344489910089052</v>
      </c>
      <c r="G29" s="11">
        <f t="shared" si="1"/>
        <v>29.068301459359972</v>
      </c>
      <c r="H29" s="12">
        <f t="shared" si="2"/>
        <v>0.73881505455497165</v>
      </c>
    </row>
    <row r="30" spans="1:8">
      <c r="A30" s="9">
        <v>2022</v>
      </c>
      <c r="B30" s="9" t="s">
        <v>74</v>
      </c>
      <c r="C30" s="10">
        <v>126248645.3</v>
      </c>
      <c r="D30" s="11">
        <v>6477808862.9700003</v>
      </c>
      <c r="E30" s="11">
        <v>4631286792.9700003</v>
      </c>
      <c r="F30" s="11">
        <f t="shared" si="0"/>
        <v>51.309927703200472</v>
      </c>
      <c r="G30" s="11">
        <f t="shared" si="1"/>
        <v>36.683853374939943</v>
      </c>
      <c r="H30" s="12">
        <f t="shared" si="2"/>
        <v>0.71494650288996164</v>
      </c>
    </row>
    <row r="31" spans="1:8">
      <c r="A31" s="9">
        <v>2022</v>
      </c>
      <c r="B31" s="9" t="s">
        <v>75</v>
      </c>
      <c r="C31" s="10">
        <v>27785362.899999999</v>
      </c>
      <c r="D31" s="11">
        <v>1805098877.8299999</v>
      </c>
      <c r="E31" s="11">
        <v>1378516201.8800001</v>
      </c>
      <c r="F31" s="11">
        <f t="shared" si="0"/>
        <v>64.965819749289651</v>
      </c>
      <c r="G31" s="11">
        <f t="shared" si="1"/>
        <v>49.613035713850628</v>
      </c>
      <c r="H31" s="12">
        <f t="shared" si="2"/>
        <v>0.76367905315922846</v>
      </c>
    </row>
    <row r="32" spans="1:8">
      <c r="A32" s="9">
        <v>2022</v>
      </c>
      <c r="B32" s="9" t="s">
        <v>76</v>
      </c>
      <c r="C32" s="10">
        <v>10771218.5</v>
      </c>
      <c r="D32" s="11">
        <v>449665670.14999998</v>
      </c>
      <c r="E32" s="11">
        <v>340031157.31999999</v>
      </c>
      <c r="F32" s="11">
        <f t="shared" si="0"/>
        <v>41.74696392520493</v>
      </c>
      <c r="G32" s="11">
        <f t="shared" si="1"/>
        <v>31.568494996178938</v>
      </c>
      <c r="H32" s="12">
        <f t="shared" si="2"/>
        <v>0.75618660683296557</v>
      </c>
    </row>
    <row r="33" spans="1:8">
      <c r="A33" s="9">
        <v>2022</v>
      </c>
      <c r="B33" s="9" t="s">
        <v>77</v>
      </c>
      <c r="C33" s="10">
        <v>11642493.699999999</v>
      </c>
      <c r="D33" s="11">
        <v>1743345954.1600001</v>
      </c>
      <c r="E33" s="11">
        <v>1347332019.03</v>
      </c>
      <c r="F33" s="11">
        <f t="shared" si="0"/>
        <v>149.73990960029468</v>
      </c>
      <c r="G33" s="11">
        <f t="shared" si="1"/>
        <v>115.72538098345719</v>
      </c>
      <c r="H33" s="12">
        <f t="shared" si="2"/>
        <v>0.77284259949379219</v>
      </c>
    </row>
    <row r="34" spans="1:8">
      <c r="A34" s="9">
        <v>2022</v>
      </c>
      <c r="B34" s="9" t="s">
        <v>78</v>
      </c>
      <c r="C34" s="10">
        <v>2228409.5</v>
      </c>
      <c r="D34" s="11">
        <v>203838551.03999999</v>
      </c>
      <c r="E34" s="11">
        <v>148841802.88999999</v>
      </c>
      <c r="F34" s="11">
        <f t="shared" si="0"/>
        <v>91.472662919449945</v>
      </c>
      <c r="G34" s="11">
        <f t="shared" si="1"/>
        <v>66.792841661283518</v>
      </c>
      <c r="H34" s="12">
        <f t="shared" si="2"/>
        <v>0.73019456884184886</v>
      </c>
    </row>
    <row r="35" spans="1:8">
      <c r="A35" s="9">
        <v>2022</v>
      </c>
      <c r="B35" s="9" t="s">
        <v>79</v>
      </c>
      <c r="C35" s="10">
        <v>148939</v>
      </c>
      <c r="D35" s="11">
        <v>14814543.880000001</v>
      </c>
      <c r="E35" s="11">
        <v>11131979.689999999</v>
      </c>
      <c r="F35" s="11">
        <f t="shared" si="0"/>
        <v>99.467190460524108</v>
      </c>
      <c r="G35" s="11">
        <f t="shared" si="1"/>
        <v>74.74187210871564</v>
      </c>
      <c r="H35" s="12">
        <f t="shared" si="2"/>
        <v>0.75142237116246602</v>
      </c>
    </row>
    <row r="36" spans="1:8">
      <c r="A36" s="9">
        <v>2022</v>
      </c>
      <c r="B36" s="9" t="s">
        <v>80</v>
      </c>
      <c r="C36" s="10">
        <v>4669430</v>
      </c>
      <c r="D36" s="11">
        <v>140388002.93000001</v>
      </c>
      <c r="E36" s="11">
        <v>108415190.37</v>
      </c>
      <c r="F36" s="11">
        <f t="shared" si="0"/>
        <v>30.065340508370401</v>
      </c>
      <c r="G36" s="11">
        <f t="shared" si="1"/>
        <v>23.218078088760301</v>
      </c>
      <c r="H36" s="12">
        <f t="shared" si="2"/>
        <v>0.77225395409362563</v>
      </c>
    </row>
    <row r="37" spans="1:8">
      <c r="A37" s="9">
        <v>2022</v>
      </c>
      <c r="B37" s="9" t="s">
        <v>81</v>
      </c>
      <c r="C37" s="10">
        <v>3132571.8</v>
      </c>
      <c r="D37" s="11">
        <v>286253976.05000001</v>
      </c>
      <c r="E37" s="11">
        <v>213959458.13999999</v>
      </c>
      <c r="F37" s="11">
        <f t="shared" si="0"/>
        <v>91.379861125609324</v>
      </c>
      <c r="G37" s="11">
        <f t="shared" si="1"/>
        <v>68.301533628056021</v>
      </c>
      <c r="H37" s="12">
        <f t="shared" si="2"/>
        <v>0.74744624019694894</v>
      </c>
    </row>
    <row r="38" spans="1:8">
      <c r="A38" s="9">
        <v>2022</v>
      </c>
      <c r="B38" s="9" t="s">
        <v>82</v>
      </c>
      <c r="C38" s="10">
        <v>11079874.4</v>
      </c>
      <c r="D38" s="11">
        <v>219075255.06999999</v>
      </c>
      <c r="E38" s="11">
        <v>170395368.11000001</v>
      </c>
      <c r="F38" s="11">
        <f t="shared" si="0"/>
        <v>19.772359068438536</v>
      </c>
      <c r="G38" s="11">
        <f t="shared" si="1"/>
        <v>15.378817661507066</v>
      </c>
      <c r="H38" s="12">
        <f t="shared" si="2"/>
        <v>0.7777937679705289</v>
      </c>
    </row>
    <row r="39" spans="1:8">
      <c r="A39" s="9">
        <v>2022</v>
      </c>
      <c r="B39" s="9" t="s">
        <v>83</v>
      </c>
      <c r="C39" s="10">
        <v>420687735.60000002</v>
      </c>
      <c r="D39" s="11">
        <v>8070157306.9300003</v>
      </c>
      <c r="E39" s="11">
        <v>6303315430.0200005</v>
      </c>
      <c r="F39" s="11">
        <f t="shared" si="0"/>
        <v>19.183248343144712</v>
      </c>
      <c r="G39" s="11">
        <f t="shared" si="1"/>
        <v>14.98335914411668</v>
      </c>
      <c r="H39" s="12">
        <f t="shared" si="2"/>
        <v>0.78106475379447948</v>
      </c>
    </row>
    <row r="40" spans="1:8">
      <c r="A40" s="9">
        <v>2022</v>
      </c>
      <c r="B40" s="9" t="s">
        <v>84</v>
      </c>
      <c r="C40" s="10">
        <v>1173934</v>
      </c>
      <c r="D40" s="11">
        <v>31763850.989999998</v>
      </c>
      <c r="E40" s="11">
        <v>24765709.920000002</v>
      </c>
      <c r="F40" s="11">
        <f t="shared" si="0"/>
        <v>27.057612259292259</v>
      </c>
      <c r="G40" s="11">
        <f t="shared" si="1"/>
        <v>21.096339249054889</v>
      </c>
      <c r="H40" s="12">
        <f t="shared" si="2"/>
        <v>0.77968222202644211</v>
      </c>
    </row>
    <row r="41" spans="1:8">
      <c r="A41" s="9">
        <v>2022</v>
      </c>
      <c r="B41" s="9" t="s">
        <v>85</v>
      </c>
      <c r="C41" s="10">
        <v>25615</v>
      </c>
      <c r="D41" s="11">
        <v>713567.58</v>
      </c>
      <c r="E41" s="11">
        <v>484093.98</v>
      </c>
      <c r="F41" s="11">
        <f t="shared" si="0"/>
        <v>27.857410892055434</v>
      </c>
      <c r="G41" s="11">
        <f t="shared" si="1"/>
        <v>18.898847550263518</v>
      </c>
      <c r="H41" s="12">
        <f t="shared" si="2"/>
        <v>0.67841364093363099</v>
      </c>
    </row>
    <row r="42" spans="1:8">
      <c r="A42" s="9">
        <v>2022</v>
      </c>
      <c r="B42" s="9" t="s">
        <v>86</v>
      </c>
      <c r="C42" s="10">
        <v>2507782</v>
      </c>
      <c r="D42" s="11">
        <v>16116472.109999999</v>
      </c>
      <c r="E42" s="11">
        <v>12720186.26</v>
      </c>
      <c r="F42" s="11">
        <f t="shared" si="0"/>
        <v>6.4265841727869484</v>
      </c>
      <c r="G42" s="11">
        <f t="shared" si="1"/>
        <v>5.0722854937151629</v>
      </c>
      <c r="H42" s="12">
        <f t="shared" si="2"/>
        <v>0.78926617271948363</v>
      </c>
    </row>
    <row r="43" spans="1:8">
      <c r="A43" s="9">
        <v>2022</v>
      </c>
      <c r="B43" s="9" t="s">
        <v>87</v>
      </c>
      <c r="C43" s="10">
        <v>838487</v>
      </c>
      <c r="D43" s="11">
        <v>71966590.840000004</v>
      </c>
      <c r="E43" s="11">
        <v>55831712.560000002</v>
      </c>
      <c r="F43" s="11">
        <f t="shared" si="0"/>
        <v>85.829107475727113</v>
      </c>
      <c r="G43" s="11">
        <f t="shared" si="1"/>
        <v>66.586259011767623</v>
      </c>
      <c r="H43" s="12">
        <f t="shared" si="2"/>
        <v>0.77580043612359062</v>
      </c>
    </row>
    <row r="44" spans="1:8">
      <c r="A44" s="9">
        <v>2022</v>
      </c>
      <c r="B44" s="9" t="s">
        <v>88</v>
      </c>
      <c r="C44" s="10">
        <v>150310</v>
      </c>
      <c r="D44" s="11">
        <v>7374011.6100000003</v>
      </c>
      <c r="E44" s="11">
        <v>5595799.21</v>
      </c>
      <c r="F44" s="11">
        <f t="shared" si="0"/>
        <v>49.058689441820242</v>
      </c>
      <c r="G44" s="11">
        <f t="shared" si="1"/>
        <v>37.228389395249813</v>
      </c>
      <c r="H44" s="12">
        <f t="shared" si="2"/>
        <v>0.75885413611384311</v>
      </c>
    </row>
    <row r="45" spans="1:8">
      <c r="A45" s="9">
        <v>2022</v>
      </c>
      <c r="B45" s="9" t="s">
        <v>89</v>
      </c>
      <c r="C45" s="10">
        <v>13484576.5</v>
      </c>
      <c r="D45" s="11">
        <v>1260242572.48</v>
      </c>
      <c r="E45" s="11">
        <v>984047509.11000001</v>
      </c>
      <c r="F45" s="11">
        <f t="shared" si="0"/>
        <v>93.458075786065663</v>
      </c>
      <c r="G45" s="11">
        <f t="shared" si="1"/>
        <v>72.975781561252589</v>
      </c>
      <c r="H45" s="12">
        <f t="shared" si="2"/>
        <v>0.7808397610100708</v>
      </c>
    </row>
    <row r="46" spans="1:8">
      <c r="A46" s="9">
        <v>2022</v>
      </c>
      <c r="B46" s="9" t="s">
        <v>90</v>
      </c>
      <c r="C46" s="10">
        <v>25214786.699999999</v>
      </c>
      <c r="D46" s="11">
        <v>1161013086.8800001</v>
      </c>
      <c r="E46" s="11">
        <v>895868777.22000003</v>
      </c>
      <c r="F46" s="11">
        <f t="shared" si="0"/>
        <v>46.044929933117388</v>
      </c>
      <c r="G46" s="11">
        <f t="shared" si="1"/>
        <v>35.52950052200918</v>
      </c>
      <c r="H46" s="12">
        <f t="shared" si="2"/>
        <v>0.77162676919299455</v>
      </c>
    </row>
    <row r="47" spans="1:8">
      <c r="A47" s="9">
        <v>2022</v>
      </c>
      <c r="B47" s="9" t="s">
        <v>91</v>
      </c>
      <c r="C47" s="10">
        <v>896446</v>
      </c>
      <c r="D47" s="11">
        <v>240832769.97</v>
      </c>
      <c r="E47" s="11">
        <v>186728618.80000001</v>
      </c>
      <c r="F47" s="11">
        <f t="shared" si="0"/>
        <v>268.65284687532767</v>
      </c>
      <c r="G47" s="11">
        <f t="shared" si="1"/>
        <v>208.29879189599822</v>
      </c>
      <c r="H47" s="12">
        <f t="shared" si="2"/>
        <v>0.77534555959000251</v>
      </c>
    </row>
    <row r="48" spans="1:8">
      <c r="A48" s="9">
        <v>2022</v>
      </c>
      <c r="B48" s="9" t="s">
        <v>92</v>
      </c>
      <c r="C48" s="10">
        <v>841438</v>
      </c>
      <c r="D48" s="11">
        <v>273674996.07999998</v>
      </c>
      <c r="E48" s="11">
        <v>212409833.61000001</v>
      </c>
      <c r="F48" s="11">
        <f t="shared" si="0"/>
        <v>325.24677525854548</v>
      </c>
      <c r="G48" s="11">
        <f t="shared" si="1"/>
        <v>252.43670194357756</v>
      </c>
      <c r="H48" s="12">
        <f t="shared" si="2"/>
        <v>0.77613898475368537</v>
      </c>
    </row>
    <row r="49" spans="1:8">
      <c r="A49" s="9">
        <v>2022</v>
      </c>
      <c r="B49" s="9" t="s">
        <v>93</v>
      </c>
      <c r="C49" s="10">
        <v>143062</v>
      </c>
      <c r="D49" s="11">
        <v>48073566.369999997</v>
      </c>
      <c r="E49" s="11">
        <v>37427107.539999999</v>
      </c>
      <c r="F49" s="11">
        <f t="shared" si="0"/>
        <v>336.03309313444521</v>
      </c>
      <c r="G49" s="11">
        <f t="shared" si="1"/>
        <v>261.61459744726062</v>
      </c>
      <c r="H49" s="12">
        <f t="shared" si="2"/>
        <v>0.77853819398254898</v>
      </c>
    </row>
    <row r="50" spans="1:8">
      <c r="A50" s="9">
        <v>2022</v>
      </c>
      <c r="B50" s="9" t="s">
        <v>94</v>
      </c>
      <c r="C50" s="10">
        <v>53695464.700000003</v>
      </c>
      <c r="D50" s="11">
        <v>749450638.63999999</v>
      </c>
      <c r="E50" s="11">
        <v>584897542.88999999</v>
      </c>
      <c r="F50" s="11">
        <f t="shared" si="0"/>
        <v>13.95742904595814</v>
      </c>
      <c r="G50" s="11">
        <f t="shared" si="1"/>
        <v>10.892866765524053</v>
      </c>
      <c r="H50" s="12">
        <f t="shared" si="2"/>
        <v>0.78043504499694827</v>
      </c>
    </row>
    <row r="51" spans="1:8">
      <c r="A51" s="9">
        <v>2022</v>
      </c>
      <c r="B51" s="9" t="s">
        <v>95</v>
      </c>
      <c r="C51" s="10">
        <v>4550</v>
      </c>
      <c r="D51" s="11">
        <v>494651.58</v>
      </c>
      <c r="E51" s="11">
        <v>387747.62</v>
      </c>
      <c r="F51" s="11">
        <f t="shared" si="0"/>
        <v>108.71463296703297</v>
      </c>
      <c r="G51" s="11">
        <f t="shared" si="1"/>
        <v>85.219257142857145</v>
      </c>
      <c r="H51" s="12">
        <f t="shared" si="2"/>
        <v>0.78388028195522996</v>
      </c>
    </row>
    <row r="52" spans="1:8">
      <c r="A52" s="9">
        <v>2022</v>
      </c>
      <c r="B52" s="9" t="s">
        <v>96</v>
      </c>
      <c r="C52" s="10">
        <v>36009</v>
      </c>
      <c r="D52" s="11">
        <v>44668.33</v>
      </c>
      <c r="E52" s="11">
        <v>35123.279999999999</v>
      </c>
      <c r="F52" s="11">
        <f t="shared" si="0"/>
        <v>1.2404768252381349</v>
      </c>
      <c r="G52" s="11">
        <f t="shared" si="1"/>
        <v>0.97540281596267597</v>
      </c>
      <c r="H52" s="12">
        <f t="shared" si="2"/>
        <v>0.78631280820214222</v>
      </c>
    </row>
    <row r="53" spans="1:8">
      <c r="A53" s="9">
        <v>2022</v>
      </c>
      <c r="B53" s="9" t="s">
        <v>97</v>
      </c>
      <c r="C53" s="10">
        <v>175226996.40000001</v>
      </c>
      <c r="D53" s="11">
        <v>9830222681.9500008</v>
      </c>
      <c r="E53" s="11">
        <v>7288539360.1599998</v>
      </c>
      <c r="F53" s="11">
        <f t="shared" si="0"/>
        <v>56.099932566954621</v>
      </c>
      <c r="G53" s="11">
        <f t="shared" si="1"/>
        <v>41.594842746274452</v>
      </c>
      <c r="H53" s="12">
        <f t="shared" si="2"/>
        <v>0.74144193839505046</v>
      </c>
    </row>
    <row r="54" spans="1:8">
      <c r="A54" s="9">
        <v>2022</v>
      </c>
      <c r="B54" s="9" t="s">
        <v>98</v>
      </c>
      <c r="C54" s="10">
        <v>12627348.5</v>
      </c>
      <c r="D54" s="11">
        <v>1222164554.3800001</v>
      </c>
      <c r="E54" s="11">
        <v>923367459.64999998</v>
      </c>
      <c r="F54" s="11">
        <f t="shared" si="0"/>
        <v>96.787108899386126</v>
      </c>
      <c r="G54" s="11">
        <f t="shared" si="1"/>
        <v>73.124414016925243</v>
      </c>
      <c r="H54" s="12">
        <f t="shared" si="2"/>
        <v>0.75551811443134276</v>
      </c>
    </row>
    <row r="55" spans="1:8">
      <c r="A55" s="9">
        <v>2022</v>
      </c>
      <c r="B55" s="9" t="s">
        <v>99</v>
      </c>
      <c r="C55" s="10">
        <v>7827876.5999999996</v>
      </c>
      <c r="D55" s="11">
        <v>433301554.57999998</v>
      </c>
      <c r="E55" s="11">
        <v>331776851.07999998</v>
      </c>
      <c r="F55" s="11">
        <f t="shared" si="0"/>
        <v>55.353651663338688</v>
      </c>
      <c r="G55" s="11">
        <f t="shared" si="1"/>
        <v>42.384016513494863</v>
      </c>
      <c r="H55" s="12">
        <f t="shared" si="2"/>
        <v>0.76569503980107323</v>
      </c>
    </row>
    <row r="56" spans="1:8">
      <c r="A56" s="9">
        <v>2022</v>
      </c>
      <c r="B56" s="9" t="s">
        <v>100</v>
      </c>
      <c r="C56" s="10">
        <v>7419001.5999999996</v>
      </c>
      <c r="D56" s="11">
        <v>497055368.91000003</v>
      </c>
      <c r="E56" s="11">
        <v>387482255.29000002</v>
      </c>
      <c r="F56" s="11">
        <f t="shared" si="0"/>
        <v>66.997609073166942</v>
      </c>
      <c r="G56" s="11">
        <f t="shared" si="1"/>
        <v>52.228355805988777</v>
      </c>
      <c r="H56" s="12">
        <f t="shared" si="2"/>
        <v>0.7795555174058687</v>
      </c>
    </row>
    <row r="57" spans="1:8">
      <c r="A57" s="9">
        <v>2022</v>
      </c>
      <c r="B57" s="9" t="s">
        <v>101</v>
      </c>
      <c r="C57" s="10">
        <v>7148491.5999999996</v>
      </c>
      <c r="D57" s="11">
        <v>635337232.03999996</v>
      </c>
      <c r="E57" s="11">
        <v>477298032.89999998</v>
      </c>
      <c r="F57" s="11">
        <f t="shared" si="0"/>
        <v>88.877104092841066</v>
      </c>
      <c r="G57" s="11">
        <f t="shared" si="1"/>
        <v>66.769055572507071</v>
      </c>
      <c r="H57" s="12">
        <f t="shared" si="2"/>
        <v>0.75125147532664971</v>
      </c>
    </row>
    <row r="58" spans="1:8">
      <c r="A58" s="9">
        <v>2022</v>
      </c>
      <c r="B58" s="9" t="s">
        <v>102</v>
      </c>
      <c r="C58" s="10">
        <v>23320</v>
      </c>
      <c r="D58" s="11">
        <v>1923299.27</v>
      </c>
      <c r="E58" s="11">
        <v>1833217.19</v>
      </c>
      <c r="F58" s="11">
        <f t="shared" si="0"/>
        <v>82.474239708404809</v>
      </c>
      <c r="G58" s="11">
        <f t="shared" si="1"/>
        <v>78.611371783876493</v>
      </c>
      <c r="H58" s="12">
        <f t="shared" si="2"/>
        <v>0.9531627337434595</v>
      </c>
    </row>
    <row r="59" spans="1:8">
      <c r="A59" s="9">
        <v>2022</v>
      </c>
      <c r="B59" s="9" t="s">
        <v>103</v>
      </c>
      <c r="C59" s="10">
        <v>47839976.799999997</v>
      </c>
      <c r="D59" s="11">
        <v>1281706852.4300001</v>
      </c>
      <c r="E59" s="11">
        <v>1257248798.5999999</v>
      </c>
      <c r="F59" s="11">
        <f t="shared" si="0"/>
        <v>26.791544188834141</v>
      </c>
      <c r="G59" s="11">
        <f t="shared" si="1"/>
        <v>26.280296996297874</v>
      </c>
      <c r="H59" s="12">
        <f t="shared" si="2"/>
        <v>0.98091759142612844</v>
      </c>
    </row>
    <row r="60" spans="1:8">
      <c r="A60" s="9">
        <v>2022</v>
      </c>
      <c r="B60" s="9" t="s">
        <v>104</v>
      </c>
      <c r="C60" s="10">
        <v>94486</v>
      </c>
      <c r="D60" s="11">
        <v>15471186.09</v>
      </c>
      <c r="E60" s="11">
        <v>11696695.619999999</v>
      </c>
      <c r="F60" s="11">
        <f t="shared" si="0"/>
        <v>163.74051277437928</v>
      </c>
      <c r="G60" s="11">
        <f t="shared" si="1"/>
        <v>123.79289651376922</v>
      </c>
      <c r="H60" s="12">
        <f t="shared" si="2"/>
        <v>0.75603095664141151</v>
      </c>
    </row>
    <row r="61" spans="1:8">
      <c r="A61" s="9">
        <v>2022</v>
      </c>
      <c r="B61" s="9" t="s">
        <v>105</v>
      </c>
      <c r="C61" s="10">
        <v>8442</v>
      </c>
      <c r="D61" s="11">
        <v>879473.42</v>
      </c>
      <c r="E61" s="11">
        <v>650455.31000000006</v>
      </c>
      <c r="F61" s="11">
        <f t="shared" si="0"/>
        <v>104.17832504145937</v>
      </c>
      <c r="G61" s="11">
        <f t="shared" si="1"/>
        <v>77.049906420279555</v>
      </c>
      <c r="H61" s="12">
        <f t="shared" si="2"/>
        <v>0.73959632571954248</v>
      </c>
    </row>
    <row r="62" spans="1:8">
      <c r="A62" s="9">
        <v>2022</v>
      </c>
      <c r="B62" s="9" t="s">
        <v>106</v>
      </c>
      <c r="C62" s="10">
        <v>118383915.90000001</v>
      </c>
      <c r="D62" s="11">
        <v>2444757236.98</v>
      </c>
      <c r="E62" s="11">
        <v>1910118110.4300001</v>
      </c>
      <c r="F62" s="11">
        <f t="shared" si="0"/>
        <v>20.651092831268642</v>
      </c>
      <c r="G62" s="11">
        <f t="shared" si="1"/>
        <v>16.134946169912936</v>
      </c>
      <c r="H62" s="12">
        <f t="shared" si="2"/>
        <v>0.7813119771309327</v>
      </c>
    </row>
    <row r="63" spans="1:8">
      <c r="A63" s="9">
        <v>2022</v>
      </c>
      <c r="B63" s="9" t="s">
        <v>107</v>
      </c>
      <c r="C63" s="10">
        <v>443158337</v>
      </c>
      <c r="D63" s="11">
        <v>5685187375.5600004</v>
      </c>
      <c r="E63" s="11">
        <v>4348390666.21</v>
      </c>
      <c r="F63" s="11">
        <f t="shared" si="0"/>
        <v>12.828794814165937</v>
      </c>
      <c r="G63" s="11">
        <f t="shared" si="1"/>
        <v>9.8122731835461323</v>
      </c>
      <c r="H63" s="12">
        <f t="shared" si="2"/>
        <v>0.76486321012096392</v>
      </c>
    </row>
    <row r="64" spans="1:8">
      <c r="A64" s="9">
        <v>2022</v>
      </c>
      <c r="B64" s="9" t="s">
        <v>108</v>
      </c>
      <c r="C64" s="10">
        <v>1587002</v>
      </c>
      <c r="D64" s="11">
        <v>147055839.83000001</v>
      </c>
      <c r="E64" s="11">
        <v>113972145.31</v>
      </c>
      <c r="F64" s="11">
        <f t="shared" si="0"/>
        <v>92.662668244904552</v>
      </c>
      <c r="G64" s="11">
        <f t="shared" si="1"/>
        <v>71.816006098290998</v>
      </c>
      <c r="H64" s="12">
        <f t="shared" si="2"/>
        <v>0.77502631273776323</v>
      </c>
    </row>
    <row r="65" spans="1:8">
      <c r="A65" s="9">
        <v>2022</v>
      </c>
      <c r="B65" s="9" t="s">
        <v>109</v>
      </c>
      <c r="C65" s="10">
        <v>425120</v>
      </c>
      <c r="D65" s="11">
        <v>18368455.77</v>
      </c>
      <c r="E65" s="11">
        <v>14259067.640000001</v>
      </c>
      <c r="F65" s="11">
        <f t="shared" si="0"/>
        <v>43.207696109333831</v>
      </c>
      <c r="G65" s="11">
        <f t="shared" si="1"/>
        <v>33.541276910048929</v>
      </c>
      <c r="H65" s="12">
        <f t="shared" si="2"/>
        <v>0.77628015215565405</v>
      </c>
    </row>
    <row r="66" spans="1:8">
      <c r="A66" s="9">
        <v>2022</v>
      </c>
      <c r="B66" s="9" t="s">
        <v>110</v>
      </c>
      <c r="C66" s="10">
        <v>419059</v>
      </c>
      <c r="D66" s="11">
        <v>26859708.690000001</v>
      </c>
      <c r="E66" s="11">
        <v>20720041.809999999</v>
      </c>
      <c r="F66" s="11">
        <f t="shared" ref="F66:F129" si="3">IFERROR(D66/C66,0)</f>
        <v>64.095291331292259</v>
      </c>
      <c r="G66" s="11">
        <f t="shared" ref="G66:G129" si="4">IFERROR(E66/C66,0)</f>
        <v>49.444211459484222</v>
      </c>
      <c r="H66" s="12">
        <f t="shared" ref="H66:H129" si="5">IFERROR(E66/D66,0)</f>
        <v>0.77141722008750491</v>
      </c>
    </row>
    <row r="67" spans="1:8">
      <c r="A67" s="9">
        <v>2022</v>
      </c>
      <c r="B67" s="9" t="s">
        <v>111</v>
      </c>
      <c r="C67" s="10">
        <v>1469318</v>
      </c>
      <c r="D67" s="11">
        <v>140820112.50999999</v>
      </c>
      <c r="E67" s="11">
        <v>108902755.77</v>
      </c>
      <c r="F67" s="11">
        <f t="shared" si="3"/>
        <v>95.840459662237848</v>
      </c>
      <c r="G67" s="11">
        <f t="shared" si="4"/>
        <v>74.117893995717736</v>
      </c>
      <c r="H67" s="12">
        <f t="shared" si="5"/>
        <v>0.77334660389698617</v>
      </c>
    </row>
    <row r="68" spans="1:8">
      <c r="A68" s="9">
        <v>2022</v>
      </c>
      <c r="B68" s="9" t="s">
        <v>112</v>
      </c>
      <c r="C68" s="10">
        <v>491018</v>
      </c>
      <c r="D68" s="11">
        <v>10104285</v>
      </c>
      <c r="E68" s="11">
        <v>7675287.1500000004</v>
      </c>
      <c r="F68" s="11">
        <f t="shared" si="3"/>
        <v>20.578237457689941</v>
      </c>
      <c r="G68" s="11">
        <f t="shared" si="4"/>
        <v>15.63137634465539</v>
      </c>
      <c r="H68" s="12">
        <f t="shared" si="5"/>
        <v>0.75960715181727356</v>
      </c>
    </row>
    <row r="69" spans="1:8">
      <c r="A69" s="9">
        <v>2022</v>
      </c>
      <c r="B69" s="9" t="s">
        <v>113</v>
      </c>
      <c r="C69" s="10">
        <v>43996208</v>
      </c>
      <c r="D69" s="11">
        <v>1003271273.6900001</v>
      </c>
      <c r="E69" s="11">
        <v>753537034.71000004</v>
      </c>
      <c r="F69" s="11">
        <f t="shared" si="3"/>
        <v>22.80358511101684</v>
      </c>
      <c r="G69" s="11">
        <f t="shared" si="4"/>
        <v>17.127317761339796</v>
      </c>
      <c r="H69" s="12">
        <f t="shared" si="5"/>
        <v>0.75108004631540448</v>
      </c>
    </row>
    <row r="70" spans="1:8">
      <c r="A70" s="9">
        <v>2022</v>
      </c>
      <c r="B70" s="9" t="s">
        <v>114</v>
      </c>
      <c r="C70" s="10">
        <v>8733</v>
      </c>
      <c r="D70" s="11">
        <v>1203974.43</v>
      </c>
      <c r="E70" s="11">
        <v>959377.55</v>
      </c>
      <c r="F70" s="11">
        <f t="shared" si="3"/>
        <v>137.86492957746478</v>
      </c>
      <c r="G70" s="11">
        <f t="shared" si="4"/>
        <v>109.85658422077179</v>
      </c>
      <c r="H70" s="12">
        <f t="shared" si="5"/>
        <v>0.7968421306090363</v>
      </c>
    </row>
    <row r="71" spans="1:8">
      <c r="A71" s="9">
        <v>2022</v>
      </c>
      <c r="B71" s="9" t="s">
        <v>115</v>
      </c>
      <c r="C71" s="10">
        <v>2554</v>
      </c>
      <c r="D71" s="11">
        <v>232762.3</v>
      </c>
      <c r="E71" s="11">
        <v>229936.05</v>
      </c>
      <c r="F71" s="11">
        <f t="shared" si="3"/>
        <v>91.136374314800307</v>
      </c>
      <c r="G71" s="11">
        <f t="shared" si="4"/>
        <v>90.029776820673447</v>
      </c>
      <c r="H71" s="12">
        <f t="shared" si="5"/>
        <v>0.98785778452953932</v>
      </c>
    </row>
    <row r="72" spans="1:8">
      <c r="A72" s="9">
        <v>2022</v>
      </c>
      <c r="B72" s="9" t="s">
        <v>116</v>
      </c>
      <c r="C72" s="10">
        <v>1466913</v>
      </c>
      <c r="D72" s="11">
        <v>271744095.24000001</v>
      </c>
      <c r="E72" s="11">
        <v>210107950.47999999</v>
      </c>
      <c r="F72" s="11">
        <f t="shared" si="3"/>
        <v>185.248951532913</v>
      </c>
      <c r="G72" s="11">
        <f t="shared" si="4"/>
        <v>143.23136442311164</v>
      </c>
      <c r="H72" s="12">
        <f t="shared" si="5"/>
        <v>0.77318313133698835</v>
      </c>
    </row>
    <row r="73" spans="1:8">
      <c r="A73" s="9">
        <v>2022</v>
      </c>
      <c r="B73" s="9" t="s">
        <v>117</v>
      </c>
      <c r="C73" s="10">
        <v>21205980.699999999</v>
      </c>
      <c r="D73" s="11">
        <v>1930595115.8099999</v>
      </c>
      <c r="E73" s="11">
        <v>1471776149.95</v>
      </c>
      <c r="F73" s="11">
        <f t="shared" si="3"/>
        <v>91.040124157521277</v>
      </c>
      <c r="G73" s="11">
        <f t="shared" si="4"/>
        <v>69.403823891530749</v>
      </c>
      <c r="H73" s="12">
        <f t="shared" si="5"/>
        <v>0.7623432473734929</v>
      </c>
    </row>
    <row r="74" spans="1:8">
      <c r="A74" s="9">
        <v>2022</v>
      </c>
      <c r="B74" s="9" t="s">
        <v>118</v>
      </c>
      <c r="C74" s="10">
        <v>53496895.299999997</v>
      </c>
      <c r="D74" s="11">
        <v>2069588596.45</v>
      </c>
      <c r="E74" s="11">
        <v>1555605239.4100001</v>
      </c>
      <c r="F74" s="11">
        <f t="shared" si="3"/>
        <v>38.686144024698201</v>
      </c>
      <c r="G74" s="11">
        <f t="shared" si="4"/>
        <v>29.078420919316418</v>
      </c>
      <c r="H74" s="12">
        <f t="shared" si="5"/>
        <v>0.75164950274579001</v>
      </c>
    </row>
    <row r="75" spans="1:8">
      <c r="A75" s="9">
        <v>2022</v>
      </c>
      <c r="B75" s="9" t="s">
        <v>119</v>
      </c>
      <c r="C75" s="10">
        <v>196980</v>
      </c>
      <c r="D75" s="11">
        <v>11233756.119999999</v>
      </c>
      <c r="E75" s="11">
        <v>8475007.6600000001</v>
      </c>
      <c r="F75" s="11">
        <f t="shared" si="3"/>
        <v>57.029932581988014</v>
      </c>
      <c r="G75" s="11">
        <f t="shared" si="4"/>
        <v>43.024711442786071</v>
      </c>
      <c r="H75" s="12">
        <f t="shared" si="5"/>
        <v>0.7544233263985084</v>
      </c>
    </row>
    <row r="76" spans="1:8">
      <c r="A76" s="9">
        <v>2022</v>
      </c>
      <c r="B76" s="9" t="s">
        <v>120</v>
      </c>
      <c r="C76" s="10">
        <v>2748976.5</v>
      </c>
      <c r="D76" s="11">
        <v>737026225.32000005</v>
      </c>
      <c r="E76" s="11">
        <v>573180818.23000002</v>
      </c>
      <c r="F76" s="11">
        <f t="shared" si="3"/>
        <v>268.10932189489438</v>
      </c>
      <c r="G76" s="11">
        <f t="shared" si="4"/>
        <v>208.50699095827122</v>
      </c>
      <c r="H76" s="12">
        <f t="shared" si="5"/>
        <v>0.77769392531607395</v>
      </c>
    </row>
    <row r="77" spans="1:8">
      <c r="A77" s="9">
        <v>2022</v>
      </c>
      <c r="B77" s="9" t="s">
        <v>121</v>
      </c>
      <c r="C77" s="10">
        <v>2074930.2</v>
      </c>
      <c r="D77" s="11">
        <v>172334901.81999999</v>
      </c>
      <c r="E77" s="11">
        <v>134877498.81999999</v>
      </c>
      <c r="F77" s="11">
        <f t="shared" si="3"/>
        <v>83.055758608169086</v>
      </c>
      <c r="G77" s="11">
        <f t="shared" si="4"/>
        <v>65.003390870690495</v>
      </c>
      <c r="H77" s="12">
        <f t="shared" si="5"/>
        <v>0.78264760878720063</v>
      </c>
    </row>
    <row r="78" spans="1:8">
      <c r="A78" s="9">
        <v>2022</v>
      </c>
      <c r="B78" s="9" t="s">
        <v>122</v>
      </c>
      <c r="C78" s="10">
        <v>153911440.69999999</v>
      </c>
      <c r="D78" s="11">
        <v>7399227250.1000004</v>
      </c>
      <c r="E78" s="11">
        <v>5545305454.8999996</v>
      </c>
      <c r="F78" s="11">
        <f t="shared" si="3"/>
        <v>48.074575979847879</v>
      </c>
      <c r="G78" s="11">
        <f t="shared" si="4"/>
        <v>36.029195943326648</v>
      </c>
      <c r="H78" s="12">
        <f t="shared" si="5"/>
        <v>0.74944386318517986</v>
      </c>
    </row>
    <row r="79" spans="1:8">
      <c r="A79" s="9">
        <v>2022</v>
      </c>
      <c r="B79" s="9" t="s">
        <v>123</v>
      </c>
      <c r="C79" s="10">
        <v>2408</v>
      </c>
      <c r="D79" s="11">
        <v>13982.76</v>
      </c>
      <c r="E79" s="11">
        <v>10827.82</v>
      </c>
      <c r="F79" s="11">
        <f t="shared" si="3"/>
        <v>5.8067940199335553</v>
      </c>
      <c r="G79" s="11">
        <f t="shared" si="4"/>
        <v>4.4966029900332227</v>
      </c>
      <c r="H79" s="12">
        <f t="shared" si="5"/>
        <v>0.77436929476011884</v>
      </c>
    </row>
    <row r="80" spans="1:8">
      <c r="A80" s="9">
        <v>2022</v>
      </c>
      <c r="B80" s="9" t="s">
        <v>124</v>
      </c>
      <c r="C80" s="10">
        <v>8979070.4000000004</v>
      </c>
      <c r="D80" s="11">
        <v>562443714.67999995</v>
      </c>
      <c r="E80" s="11">
        <v>429093662.55000001</v>
      </c>
      <c r="F80" s="11">
        <f t="shared" si="3"/>
        <v>62.639414730504832</v>
      </c>
      <c r="G80" s="11">
        <f t="shared" si="4"/>
        <v>47.788205619815606</v>
      </c>
      <c r="H80" s="12">
        <f t="shared" si="5"/>
        <v>0.76290951672227525</v>
      </c>
    </row>
    <row r="81" spans="1:8">
      <c r="A81" s="9">
        <v>2022</v>
      </c>
      <c r="B81" s="9" t="s">
        <v>125</v>
      </c>
      <c r="C81" s="10">
        <v>15511274.4</v>
      </c>
      <c r="D81" s="11">
        <v>458397129.67000002</v>
      </c>
      <c r="E81" s="11">
        <v>349086778.63</v>
      </c>
      <c r="F81" s="11">
        <f t="shared" si="3"/>
        <v>29.552512440241532</v>
      </c>
      <c r="G81" s="11">
        <f t="shared" si="4"/>
        <v>22.505357691950831</v>
      </c>
      <c r="H81" s="12">
        <f t="shared" si="5"/>
        <v>0.76153788066104922</v>
      </c>
    </row>
    <row r="82" spans="1:8">
      <c r="A82" s="9">
        <v>2022</v>
      </c>
      <c r="B82" s="9" t="s">
        <v>126</v>
      </c>
      <c r="C82" s="10">
        <v>20315</v>
      </c>
      <c r="D82" s="11">
        <v>5881904.1200000001</v>
      </c>
      <c r="E82" s="11">
        <v>4499143.76</v>
      </c>
      <c r="F82" s="11">
        <f t="shared" si="3"/>
        <v>289.53502928870296</v>
      </c>
      <c r="G82" s="11">
        <f t="shared" si="4"/>
        <v>221.46905045532856</v>
      </c>
      <c r="H82" s="12">
        <f t="shared" si="5"/>
        <v>0.76491280174080767</v>
      </c>
    </row>
    <row r="83" spans="1:8">
      <c r="A83" s="9">
        <v>2022</v>
      </c>
      <c r="B83" s="9" t="s">
        <v>127</v>
      </c>
      <c r="C83" s="10">
        <v>58505202.200000003</v>
      </c>
      <c r="D83" s="11">
        <v>9626166186.4999905</v>
      </c>
      <c r="E83" s="11">
        <v>7249779931.5699997</v>
      </c>
      <c r="F83" s="11">
        <f t="shared" si="3"/>
        <v>164.53521780153747</v>
      </c>
      <c r="G83" s="11">
        <f t="shared" si="4"/>
        <v>123.91684258754684</v>
      </c>
      <c r="H83" s="12">
        <f t="shared" si="5"/>
        <v>0.75313263776157302</v>
      </c>
    </row>
    <row r="84" spans="1:8">
      <c r="A84" s="9">
        <v>2022</v>
      </c>
      <c r="B84" s="9" t="s">
        <v>128</v>
      </c>
      <c r="C84" s="10">
        <v>1498807</v>
      </c>
      <c r="D84" s="11">
        <v>238279607.62</v>
      </c>
      <c r="E84" s="11">
        <v>230315026.94</v>
      </c>
      <c r="F84" s="11">
        <f t="shared" si="3"/>
        <v>158.97951345303298</v>
      </c>
      <c r="G84" s="11">
        <f t="shared" si="4"/>
        <v>153.6655666406682</v>
      </c>
      <c r="H84" s="12">
        <f t="shared" si="5"/>
        <v>0.96657464413529826</v>
      </c>
    </row>
    <row r="85" spans="1:8">
      <c r="A85" s="9">
        <v>2022</v>
      </c>
      <c r="B85" s="9" t="s">
        <v>129</v>
      </c>
      <c r="C85" s="10">
        <v>49681</v>
      </c>
      <c r="D85" s="11">
        <v>3036626.6</v>
      </c>
      <c r="E85" s="11">
        <v>2272975.44</v>
      </c>
      <c r="F85" s="11">
        <f t="shared" si="3"/>
        <v>61.122493508584775</v>
      </c>
      <c r="G85" s="11">
        <f t="shared" si="4"/>
        <v>45.751402749542081</v>
      </c>
      <c r="H85" s="12">
        <f t="shared" si="5"/>
        <v>0.74851990033940952</v>
      </c>
    </row>
    <row r="86" spans="1:8">
      <c r="A86" s="9">
        <v>2022</v>
      </c>
      <c r="B86" s="9" t="s">
        <v>130</v>
      </c>
      <c r="C86" s="10">
        <v>15200308.1</v>
      </c>
      <c r="D86" s="11">
        <v>1344094733.95</v>
      </c>
      <c r="E86" s="11">
        <v>889997255.58000004</v>
      </c>
      <c r="F86" s="11">
        <f t="shared" si="3"/>
        <v>88.425492766820966</v>
      </c>
      <c r="G86" s="11">
        <f t="shared" si="4"/>
        <v>58.551264206282774</v>
      </c>
      <c r="H86" s="12">
        <f t="shared" si="5"/>
        <v>0.66215366603252213</v>
      </c>
    </row>
    <row r="87" spans="1:8">
      <c r="A87" s="9">
        <v>2022</v>
      </c>
      <c r="B87" s="9" t="s">
        <v>131</v>
      </c>
      <c r="C87" s="10">
        <v>245528</v>
      </c>
      <c r="D87" s="11">
        <v>65071956.409999996</v>
      </c>
      <c r="E87" s="11">
        <v>50331049.770000003</v>
      </c>
      <c r="F87" s="11">
        <f t="shared" si="3"/>
        <v>265.02865827930009</v>
      </c>
      <c r="G87" s="11">
        <f t="shared" si="4"/>
        <v>204.99107951027989</v>
      </c>
      <c r="H87" s="12">
        <f t="shared" si="5"/>
        <v>0.77346759720697944</v>
      </c>
    </row>
    <row r="88" spans="1:8">
      <c r="A88" s="9">
        <v>2022</v>
      </c>
      <c r="B88" s="9" t="s">
        <v>132</v>
      </c>
      <c r="C88" s="10">
        <v>51405253.299999997</v>
      </c>
      <c r="D88" s="11">
        <v>3966745140.8099999</v>
      </c>
      <c r="E88" s="11">
        <v>2999401062.4400001</v>
      </c>
      <c r="F88" s="11">
        <f t="shared" si="3"/>
        <v>77.166143266723296</v>
      </c>
      <c r="G88" s="11">
        <f t="shared" si="4"/>
        <v>58.348142843214049</v>
      </c>
      <c r="H88" s="12">
        <f t="shared" si="5"/>
        <v>0.75613656939591778</v>
      </c>
    </row>
    <row r="89" spans="1:8">
      <c r="A89" s="9">
        <v>2022</v>
      </c>
      <c r="B89" s="9" t="s">
        <v>133</v>
      </c>
      <c r="C89" s="10">
        <v>872016.5</v>
      </c>
      <c r="D89" s="11">
        <v>62326934.600000001</v>
      </c>
      <c r="E89" s="11">
        <v>47114174.039999999</v>
      </c>
      <c r="F89" s="11">
        <f t="shared" si="3"/>
        <v>71.474489989581627</v>
      </c>
      <c r="G89" s="11">
        <f t="shared" si="4"/>
        <v>54.028993763306083</v>
      </c>
      <c r="H89" s="12">
        <f t="shared" si="5"/>
        <v>0.75591996208971257</v>
      </c>
    </row>
    <row r="90" spans="1:8">
      <c r="A90" s="9">
        <v>2022</v>
      </c>
      <c r="B90" s="9" t="s">
        <v>134</v>
      </c>
      <c r="C90" s="10">
        <v>13902060.199999999</v>
      </c>
      <c r="D90" s="11">
        <v>1219197725.8699999</v>
      </c>
      <c r="E90" s="11">
        <v>900760591.5</v>
      </c>
      <c r="F90" s="11">
        <f t="shared" si="3"/>
        <v>87.699068219399592</v>
      </c>
      <c r="G90" s="11">
        <f t="shared" si="4"/>
        <v>64.793316856734663</v>
      </c>
      <c r="H90" s="12">
        <f t="shared" si="5"/>
        <v>0.7388141991958127</v>
      </c>
    </row>
    <row r="91" spans="1:8">
      <c r="A91" s="9">
        <v>2022</v>
      </c>
      <c r="B91" s="9" t="s">
        <v>135</v>
      </c>
      <c r="C91" s="10">
        <v>3205935</v>
      </c>
      <c r="D91" s="11">
        <v>101359309.81999999</v>
      </c>
      <c r="E91" s="11">
        <v>77136322.930000007</v>
      </c>
      <c r="F91" s="11">
        <f t="shared" si="3"/>
        <v>31.616146247506574</v>
      </c>
      <c r="G91" s="11">
        <f t="shared" si="4"/>
        <v>24.060476251078082</v>
      </c>
      <c r="H91" s="12">
        <f t="shared" si="5"/>
        <v>0.76101862835277156</v>
      </c>
    </row>
    <row r="92" spans="1:8">
      <c r="A92" s="9">
        <v>2022</v>
      </c>
      <c r="B92" s="9" t="s">
        <v>136</v>
      </c>
      <c r="C92" s="10">
        <v>9763168</v>
      </c>
      <c r="D92" s="11">
        <v>639022237.03999996</v>
      </c>
      <c r="E92" s="11">
        <v>489237349.43000001</v>
      </c>
      <c r="F92" s="11">
        <f t="shared" si="3"/>
        <v>65.452344673368316</v>
      </c>
      <c r="G92" s="11">
        <f t="shared" si="4"/>
        <v>50.110512226154462</v>
      </c>
      <c r="H92" s="12">
        <f t="shared" si="5"/>
        <v>0.76560301202691305</v>
      </c>
    </row>
    <row r="93" spans="1:8">
      <c r="A93" s="9">
        <v>2022</v>
      </c>
      <c r="B93" s="9" t="s">
        <v>137</v>
      </c>
      <c r="C93" s="10">
        <v>31502995.699999999</v>
      </c>
      <c r="D93" s="11">
        <v>1338005971.3699999</v>
      </c>
      <c r="E93" s="11">
        <v>1053791914.72</v>
      </c>
      <c r="F93" s="11">
        <f t="shared" si="3"/>
        <v>42.4723408564602</v>
      </c>
      <c r="G93" s="11">
        <f t="shared" si="4"/>
        <v>33.450530379877492</v>
      </c>
      <c r="H93" s="12">
        <f t="shared" si="5"/>
        <v>0.78758386529546665</v>
      </c>
    </row>
    <row r="94" spans="1:8">
      <c r="A94" s="9">
        <v>2022</v>
      </c>
      <c r="B94" s="9" t="s">
        <v>138</v>
      </c>
      <c r="C94" s="10">
        <v>2488495.6</v>
      </c>
      <c r="D94" s="11">
        <v>92259072</v>
      </c>
      <c r="E94" s="11">
        <v>70111568.430000007</v>
      </c>
      <c r="F94" s="11">
        <f t="shared" si="3"/>
        <v>37.074235534111452</v>
      </c>
      <c r="G94" s="11">
        <f t="shared" si="4"/>
        <v>28.174278640476601</v>
      </c>
      <c r="H94" s="12">
        <f t="shared" si="5"/>
        <v>0.75994226811646237</v>
      </c>
    </row>
    <row r="95" spans="1:8">
      <c r="A95" s="9">
        <v>2022</v>
      </c>
      <c r="B95" s="9" t="s">
        <v>139</v>
      </c>
      <c r="C95" s="10">
        <v>65055</v>
      </c>
      <c r="D95" s="11">
        <v>6195746.8099999996</v>
      </c>
      <c r="E95" s="11">
        <v>4830750.4400000004</v>
      </c>
      <c r="F95" s="11">
        <f t="shared" si="3"/>
        <v>95.238595188686489</v>
      </c>
      <c r="G95" s="11">
        <f t="shared" si="4"/>
        <v>74.256405195603733</v>
      </c>
      <c r="H95" s="12">
        <f t="shared" si="5"/>
        <v>0.7796881615954866</v>
      </c>
    </row>
    <row r="96" spans="1:8">
      <c r="A96" s="9">
        <v>2022</v>
      </c>
      <c r="B96" s="9" t="s">
        <v>140</v>
      </c>
      <c r="C96" s="10">
        <v>87893</v>
      </c>
      <c r="D96" s="11">
        <v>21525582.449999999</v>
      </c>
      <c r="E96" s="11">
        <v>16666794.08</v>
      </c>
      <c r="F96" s="11">
        <f t="shared" si="3"/>
        <v>244.90667573071804</v>
      </c>
      <c r="G96" s="11">
        <f t="shared" si="4"/>
        <v>189.62595519552184</v>
      </c>
      <c r="H96" s="12">
        <f t="shared" si="5"/>
        <v>0.77427842515824707</v>
      </c>
    </row>
    <row r="97" spans="1:8">
      <c r="A97" s="9">
        <v>2022</v>
      </c>
      <c r="B97" s="9" t="s">
        <v>141</v>
      </c>
      <c r="C97" s="10">
        <v>1899070721.0999999</v>
      </c>
      <c r="D97" s="11">
        <v>4132754764.5500002</v>
      </c>
      <c r="E97" s="11">
        <v>3249745272.1199999</v>
      </c>
      <c r="F97" s="11">
        <f t="shared" si="3"/>
        <v>2.1761984525548277</v>
      </c>
      <c r="G97" s="11">
        <f t="shared" si="4"/>
        <v>1.7112292006890866</v>
      </c>
      <c r="H97" s="12">
        <f t="shared" si="5"/>
        <v>0.7863387636730127</v>
      </c>
    </row>
    <row r="98" spans="1:8">
      <c r="A98" s="9">
        <v>2022</v>
      </c>
      <c r="B98" s="9" t="s">
        <v>142</v>
      </c>
      <c r="C98" s="10">
        <v>27131349</v>
      </c>
      <c r="D98" s="11">
        <v>1241457154.9400001</v>
      </c>
      <c r="E98" s="11">
        <v>951870966.20000005</v>
      </c>
      <c r="F98" s="11">
        <f t="shared" si="3"/>
        <v>45.75729555283079</v>
      </c>
      <c r="G98" s="11">
        <f t="shared" si="4"/>
        <v>35.083805313182182</v>
      </c>
      <c r="H98" s="12">
        <f t="shared" si="5"/>
        <v>0.76673686434712618</v>
      </c>
    </row>
    <row r="99" spans="1:8">
      <c r="A99" s="9">
        <v>2022</v>
      </c>
      <c r="B99" s="9" t="s">
        <v>143</v>
      </c>
      <c r="C99" s="10">
        <v>150802658.09999999</v>
      </c>
      <c r="D99" s="11">
        <v>4214597071.8800001</v>
      </c>
      <c r="E99" s="11">
        <v>3145695637.2600002</v>
      </c>
      <c r="F99" s="11">
        <f t="shared" si="3"/>
        <v>27.947763819157775</v>
      </c>
      <c r="G99" s="11">
        <f t="shared" si="4"/>
        <v>20.859682958466369</v>
      </c>
      <c r="H99" s="12">
        <f t="shared" si="5"/>
        <v>0.7463811091808128</v>
      </c>
    </row>
    <row r="100" spans="1:8">
      <c r="A100" s="9">
        <v>2022</v>
      </c>
      <c r="B100" s="9" t="s">
        <v>144</v>
      </c>
      <c r="C100" s="10">
        <v>75369724.5</v>
      </c>
      <c r="D100" s="11">
        <v>3500625393.6700001</v>
      </c>
      <c r="E100" s="11">
        <v>2591155510</v>
      </c>
      <c r="F100" s="11">
        <f t="shared" si="3"/>
        <v>46.446042053265039</v>
      </c>
      <c r="G100" s="11">
        <f t="shared" si="4"/>
        <v>34.379262060325033</v>
      </c>
      <c r="H100" s="12">
        <f t="shared" si="5"/>
        <v>0.74019788426532374</v>
      </c>
    </row>
    <row r="101" spans="1:8">
      <c r="A101" s="9">
        <v>2022</v>
      </c>
      <c r="B101" s="9" t="s">
        <v>145</v>
      </c>
      <c r="C101" s="10">
        <v>2012548</v>
      </c>
      <c r="D101" s="11">
        <v>381315654.42000002</v>
      </c>
      <c r="E101" s="11">
        <v>294522080.89999998</v>
      </c>
      <c r="F101" s="11">
        <f t="shared" si="3"/>
        <v>189.46909808859218</v>
      </c>
      <c r="G101" s="11">
        <f t="shared" si="4"/>
        <v>146.34288518832841</v>
      </c>
      <c r="H101" s="12">
        <f t="shared" si="5"/>
        <v>0.77238392257454691</v>
      </c>
    </row>
    <row r="102" spans="1:8">
      <c r="A102" s="9">
        <v>2022</v>
      </c>
      <c r="B102" s="9" t="s">
        <v>146</v>
      </c>
      <c r="C102" s="10">
        <v>32526982.899999999</v>
      </c>
      <c r="D102" s="11">
        <v>2608020315.4099998</v>
      </c>
      <c r="E102" s="11">
        <v>1939120690.9300001</v>
      </c>
      <c r="F102" s="11">
        <f t="shared" si="3"/>
        <v>80.180209871540228</v>
      </c>
      <c r="G102" s="11">
        <f t="shared" si="4"/>
        <v>59.615756459539327</v>
      </c>
      <c r="H102" s="12">
        <f t="shared" si="5"/>
        <v>0.74352208051153779</v>
      </c>
    </row>
    <row r="103" spans="1:8">
      <c r="A103" s="9">
        <v>2022</v>
      </c>
      <c r="B103" s="9" t="s">
        <v>147</v>
      </c>
      <c r="C103" s="10">
        <v>4811906</v>
      </c>
      <c r="D103" s="11">
        <v>246731225.28999999</v>
      </c>
      <c r="E103" s="11">
        <v>187515117.59</v>
      </c>
      <c r="F103" s="11">
        <f t="shared" si="3"/>
        <v>51.275154853399044</v>
      </c>
      <c r="G103" s="11">
        <f t="shared" si="4"/>
        <v>38.968990165227666</v>
      </c>
      <c r="H103" s="12">
        <f t="shared" si="5"/>
        <v>0.75999751296010765</v>
      </c>
    </row>
    <row r="104" spans="1:8">
      <c r="A104" s="9">
        <v>2022</v>
      </c>
      <c r="B104" s="9" t="s">
        <v>148</v>
      </c>
      <c r="C104" s="10">
        <v>306209</v>
      </c>
      <c r="D104" s="11">
        <v>16960037.100000001</v>
      </c>
      <c r="E104" s="11">
        <v>13207243.9</v>
      </c>
      <c r="F104" s="11">
        <f t="shared" si="3"/>
        <v>55.38712807265626</v>
      </c>
      <c r="G104" s="11">
        <f t="shared" si="4"/>
        <v>43.131468702748776</v>
      </c>
      <c r="H104" s="12">
        <f t="shared" si="5"/>
        <v>0.77872730007176694</v>
      </c>
    </row>
    <row r="105" spans="1:8">
      <c r="A105" s="9">
        <v>2022</v>
      </c>
      <c r="B105" s="9" t="s">
        <v>149</v>
      </c>
      <c r="C105" s="10">
        <v>10151542.300000001</v>
      </c>
      <c r="D105" s="11">
        <v>938927154.11000001</v>
      </c>
      <c r="E105" s="11">
        <v>693662351.38999999</v>
      </c>
      <c r="F105" s="11">
        <f t="shared" si="3"/>
        <v>92.491084247366032</v>
      </c>
      <c r="G105" s="11">
        <f t="shared" si="4"/>
        <v>68.330735457803286</v>
      </c>
      <c r="H105" s="12">
        <f t="shared" si="5"/>
        <v>0.73878186220688846</v>
      </c>
    </row>
    <row r="106" spans="1:8">
      <c r="A106" s="9">
        <v>2022</v>
      </c>
      <c r="B106" s="9" t="s">
        <v>150</v>
      </c>
      <c r="C106" s="10">
        <v>102049</v>
      </c>
      <c r="D106" s="11">
        <v>12739025.310000001</v>
      </c>
      <c r="E106" s="11">
        <v>9752630.7699999996</v>
      </c>
      <c r="F106" s="11">
        <f t="shared" si="3"/>
        <v>124.83243647659458</v>
      </c>
      <c r="G106" s="11">
        <f t="shared" si="4"/>
        <v>95.568116983017958</v>
      </c>
      <c r="H106" s="12">
        <f t="shared" si="5"/>
        <v>0.7655711903126754</v>
      </c>
    </row>
    <row r="107" spans="1:8">
      <c r="A107" s="9">
        <v>2022</v>
      </c>
      <c r="B107" s="9" t="s">
        <v>151</v>
      </c>
      <c r="C107" s="10">
        <v>161683.70000000001</v>
      </c>
      <c r="D107" s="11">
        <v>6374811.8200000003</v>
      </c>
      <c r="E107" s="11">
        <v>6252279.4299999997</v>
      </c>
      <c r="F107" s="11">
        <f t="shared" si="3"/>
        <v>39.427671558728555</v>
      </c>
      <c r="G107" s="11">
        <f t="shared" si="4"/>
        <v>38.66981909741056</v>
      </c>
      <c r="H107" s="12">
        <f t="shared" si="5"/>
        <v>0.98077866555753479</v>
      </c>
    </row>
    <row r="108" spans="1:8">
      <c r="A108" s="9">
        <v>2022</v>
      </c>
      <c r="B108" s="9" t="s">
        <v>152</v>
      </c>
      <c r="C108" s="10">
        <v>16832966.5</v>
      </c>
      <c r="D108" s="11">
        <v>1443167050.3</v>
      </c>
      <c r="E108" s="11">
        <v>1105141833.5899999</v>
      </c>
      <c r="F108" s="11">
        <f t="shared" si="3"/>
        <v>85.734564391843818</v>
      </c>
      <c r="G108" s="11">
        <f t="shared" si="4"/>
        <v>65.653420838804607</v>
      </c>
      <c r="H108" s="12">
        <f t="shared" si="5"/>
        <v>0.76577540580646386</v>
      </c>
    </row>
    <row r="109" spans="1:8">
      <c r="A109" s="9">
        <v>2022</v>
      </c>
      <c r="B109" s="9" t="s">
        <v>153</v>
      </c>
      <c r="C109" s="10">
        <v>14820544.699999999</v>
      </c>
      <c r="D109" s="11">
        <v>1864094743.74</v>
      </c>
      <c r="E109" s="11">
        <v>1462902757.46</v>
      </c>
      <c r="F109" s="11">
        <f t="shared" si="3"/>
        <v>125.7777484885559</v>
      </c>
      <c r="G109" s="11">
        <f t="shared" si="4"/>
        <v>98.707759199970567</v>
      </c>
      <c r="H109" s="12">
        <f t="shared" si="5"/>
        <v>0.78477918698752713</v>
      </c>
    </row>
    <row r="110" spans="1:8">
      <c r="A110" s="9">
        <v>2022</v>
      </c>
      <c r="B110" s="9" t="s">
        <v>154</v>
      </c>
      <c r="C110" s="10">
        <v>141716</v>
      </c>
      <c r="D110" s="11">
        <v>35087578.789999999</v>
      </c>
      <c r="E110" s="11">
        <v>27540008.640000001</v>
      </c>
      <c r="F110" s="11">
        <f t="shared" si="3"/>
        <v>247.59080689548111</v>
      </c>
      <c r="G110" s="11">
        <f t="shared" si="4"/>
        <v>194.33238759208558</v>
      </c>
      <c r="H110" s="12">
        <f t="shared" si="5"/>
        <v>0.78489338933380426</v>
      </c>
    </row>
    <row r="111" spans="1:8">
      <c r="A111" s="9">
        <v>2022</v>
      </c>
      <c r="B111" s="9" t="s">
        <v>155</v>
      </c>
      <c r="C111" s="10">
        <v>527129.30000000005</v>
      </c>
      <c r="D111" s="11">
        <v>16980756.739999998</v>
      </c>
      <c r="E111" s="11">
        <v>15680469.43</v>
      </c>
      <c r="F111" s="11">
        <f t="shared" si="3"/>
        <v>32.213646139571445</v>
      </c>
      <c r="G111" s="11">
        <f t="shared" si="4"/>
        <v>29.746913005974054</v>
      </c>
      <c r="H111" s="12">
        <f t="shared" si="5"/>
        <v>0.92342583255214816</v>
      </c>
    </row>
    <row r="112" spans="1:8">
      <c r="A112" s="9">
        <v>2022</v>
      </c>
      <c r="B112" s="9" t="s">
        <v>156</v>
      </c>
      <c r="C112" s="10">
        <v>42</v>
      </c>
      <c r="D112" s="11">
        <v>10133.73</v>
      </c>
      <c r="E112" s="11">
        <v>7821.16</v>
      </c>
      <c r="F112" s="11">
        <f t="shared" si="3"/>
        <v>241.27928571428569</v>
      </c>
      <c r="G112" s="11">
        <f t="shared" si="4"/>
        <v>186.21809523809523</v>
      </c>
      <c r="H112" s="12">
        <f t="shared" si="5"/>
        <v>0.77179478829611603</v>
      </c>
    </row>
    <row r="113" spans="1:8">
      <c r="A113" s="9">
        <v>2022</v>
      </c>
      <c r="B113" s="9" t="s">
        <v>157</v>
      </c>
      <c r="C113" s="10">
        <v>175074397.19999999</v>
      </c>
      <c r="D113" s="11">
        <v>3122497605.5</v>
      </c>
      <c r="E113" s="11">
        <v>2408667433.2600002</v>
      </c>
      <c r="F113" s="11">
        <f t="shared" si="3"/>
        <v>17.835261211454853</v>
      </c>
      <c r="G113" s="11">
        <f t="shared" si="4"/>
        <v>13.757965023911563</v>
      </c>
      <c r="H113" s="12">
        <f t="shared" si="5"/>
        <v>0.77139128274024871</v>
      </c>
    </row>
    <row r="114" spans="1:8">
      <c r="A114" s="9">
        <v>2022</v>
      </c>
      <c r="B114" s="9" t="s">
        <v>158</v>
      </c>
      <c r="C114" s="10">
        <v>668438.6</v>
      </c>
      <c r="D114" s="11">
        <v>29639652.34</v>
      </c>
      <c r="E114" s="11">
        <v>23390274.210000001</v>
      </c>
      <c r="F114" s="11">
        <f t="shared" si="3"/>
        <v>44.34162291046627</v>
      </c>
      <c r="G114" s="11">
        <f t="shared" si="4"/>
        <v>34.992405001745865</v>
      </c>
      <c r="H114" s="12">
        <f t="shared" si="5"/>
        <v>0.78915480997170162</v>
      </c>
    </row>
    <row r="115" spans="1:8">
      <c r="A115" s="9">
        <v>2022</v>
      </c>
      <c r="B115" s="9" t="s">
        <v>159</v>
      </c>
      <c r="C115" s="10">
        <v>114952</v>
      </c>
      <c r="D115" s="11">
        <v>171226.67</v>
      </c>
      <c r="E115" s="11">
        <v>132794.85999999999</v>
      </c>
      <c r="F115" s="11">
        <f t="shared" si="3"/>
        <v>1.4895492901384928</v>
      </c>
      <c r="G115" s="11">
        <f t="shared" si="4"/>
        <v>1.1552200918644302</v>
      </c>
      <c r="H115" s="12">
        <f t="shared" si="5"/>
        <v>0.77555009391936414</v>
      </c>
    </row>
    <row r="116" spans="1:8">
      <c r="A116" s="9">
        <v>2022</v>
      </c>
      <c r="B116" s="9" t="s">
        <v>160</v>
      </c>
      <c r="C116" s="10">
        <v>589236</v>
      </c>
      <c r="D116" s="11">
        <v>65855540.880000003</v>
      </c>
      <c r="E116" s="11">
        <v>48654771.259999998</v>
      </c>
      <c r="F116" s="11">
        <f t="shared" si="3"/>
        <v>111.76428609249945</v>
      </c>
      <c r="G116" s="11">
        <f t="shared" si="4"/>
        <v>82.572638569265962</v>
      </c>
      <c r="H116" s="12">
        <f t="shared" si="5"/>
        <v>0.73881059376092995</v>
      </c>
    </row>
    <row r="117" spans="1:8">
      <c r="A117" s="9">
        <v>2022</v>
      </c>
      <c r="B117" s="9" t="s">
        <v>161</v>
      </c>
      <c r="C117" s="10">
        <v>52029</v>
      </c>
      <c r="D117" s="11">
        <v>2195114.67</v>
      </c>
      <c r="E117" s="11">
        <v>1666047.8</v>
      </c>
      <c r="F117" s="11">
        <f t="shared" si="3"/>
        <v>42.190214495761978</v>
      </c>
      <c r="G117" s="11">
        <f t="shared" si="4"/>
        <v>32.021522612389248</v>
      </c>
      <c r="H117" s="12">
        <f t="shared" si="5"/>
        <v>0.75897984864726908</v>
      </c>
    </row>
    <row r="118" spans="1:8">
      <c r="A118" s="9">
        <v>2022</v>
      </c>
      <c r="B118" s="9" t="s">
        <v>162</v>
      </c>
      <c r="C118" s="10"/>
      <c r="D118" s="11"/>
      <c r="E118" s="11"/>
      <c r="F118" s="11">
        <f t="shared" si="3"/>
        <v>0</v>
      </c>
      <c r="G118" s="11">
        <f t="shared" si="4"/>
        <v>0</v>
      </c>
      <c r="H118" s="12">
        <f t="shared" si="5"/>
        <v>0</v>
      </c>
    </row>
    <row r="119" spans="1:8">
      <c r="A119" s="9">
        <v>2022</v>
      </c>
      <c r="B119" s="9" t="s">
        <v>163</v>
      </c>
      <c r="C119" s="10">
        <v>1457079.5</v>
      </c>
      <c r="D119" s="11">
        <v>89116706.799999997</v>
      </c>
      <c r="E119" s="11">
        <v>69184945.530000001</v>
      </c>
      <c r="F119" s="11">
        <f t="shared" si="3"/>
        <v>61.161183586756934</v>
      </c>
      <c r="G119" s="11">
        <f t="shared" si="4"/>
        <v>47.481929112309935</v>
      </c>
      <c r="H119" s="12">
        <f t="shared" si="5"/>
        <v>0.77634091310474684</v>
      </c>
    </row>
    <row r="120" spans="1:8">
      <c r="A120" s="9">
        <v>2022</v>
      </c>
      <c r="B120" s="9" t="s">
        <v>164</v>
      </c>
      <c r="C120" s="10">
        <v>4786818</v>
      </c>
      <c r="D120" s="11">
        <v>204266306.47999999</v>
      </c>
      <c r="E120" s="11">
        <v>151884605.55000001</v>
      </c>
      <c r="F120" s="11">
        <f t="shared" si="3"/>
        <v>42.672670337581245</v>
      </c>
      <c r="G120" s="11">
        <f t="shared" si="4"/>
        <v>31.729764020691828</v>
      </c>
      <c r="H120" s="12">
        <f t="shared" si="5"/>
        <v>0.74356171689466199</v>
      </c>
    </row>
    <row r="121" spans="1:8">
      <c r="A121" s="9">
        <v>2022</v>
      </c>
      <c r="B121" s="9" t="s">
        <v>165</v>
      </c>
      <c r="C121" s="10">
        <v>601167</v>
      </c>
      <c r="D121" s="11">
        <v>92139064.939999998</v>
      </c>
      <c r="E121" s="11">
        <v>71244109.150000006</v>
      </c>
      <c r="F121" s="11">
        <f t="shared" si="3"/>
        <v>153.26700391072697</v>
      </c>
      <c r="G121" s="11">
        <f t="shared" si="4"/>
        <v>118.50968058792317</v>
      </c>
      <c r="H121" s="12">
        <f t="shared" si="5"/>
        <v>0.77322370480309766</v>
      </c>
    </row>
    <row r="122" spans="1:8">
      <c r="A122" s="9">
        <v>2022</v>
      </c>
      <c r="B122" s="9" t="s">
        <v>166</v>
      </c>
      <c r="C122" s="10">
        <v>891276.5</v>
      </c>
      <c r="D122" s="11">
        <v>314091849.92000002</v>
      </c>
      <c r="E122" s="11">
        <v>246324663.34999999</v>
      </c>
      <c r="F122" s="11">
        <f t="shared" si="3"/>
        <v>352.40674461853308</v>
      </c>
      <c r="G122" s="11">
        <f t="shared" si="4"/>
        <v>276.3728914091194</v>
      </c>
      <c r="H122" s="12">
        <f t="shared" si="5"/>
        <v>0.78424404648748292</v>
      </c>
    </row>
    <row r="123" spans="1:8">
      <c r="A123" s="9">
        <v>2022</v>
      </c>
      <c r="B123" s="9" t="s">
        <v>167</v>
      </c>
      <c r="C123" s="10">
        <v>243103</v>
      </c>
      <c r="D123" s="11">
        <v>27131833.460000001</v>
      </c>
      <c r="E123" s="11">
        <v>21256815.350000001</v>
      </c>
      <c r="F123" s="11">
        <f t="shared" si="3"/>
        <v>111.60632925138728</v>
      </c>
      <c r="G123" s="11">
        <f t="shared" si="4"/>
        <v>87.439543526817857</v>
      </c>
      <c r="H123" s="12">
        <f t="shared" si="5"/>
        <v>0.78346402138058824</v>
      </c>
    </row>
    <row r="124" spans="1:8">
      <c r="A124" s="9">
        <v>2022</v>
      </c>
      <c r="B124" s="9" t="s">
        <v>168</v>
      </c>
      <c r="C124" s="10">
        <v>725607.5</v>
      </c>
      <c r="D124" s="11">
        <v>51580618.899999999</v>
      </c>
      <c r="E124" s="11">
        <v>39747859.619999997</v>
      </c>
      <c r="F124" s="11">
        <f t="shared" si="3"/>
        <v>71.086115978679928</v>
      </c>
      <c r="G124" s="11">
        <f t="shared" si="4"/>
        <v>54.778733158077884</v>
      </c>
      <c r="H124" s="12">
        <f t="shared" si="5"/>
        <v>0.77059679522379676</v>
      </c>
    </row>
    <row r="125" spans="1:8">
      <c r="A125" s="9">
        <v>2022</v>
      </c>
      <c r="B125" s="9" t="s">
        <v>169</v>
      </c>
      <c r="C125" s="10">
        <v>8290</v>
      </c>
      <c r="D125" s="11">
        <v>605361.21</v>
      </c>
      <c r="E125" s="11">
        <v>457023.18</v>
      </c>
      <c r="F125" s="11">
        <f t="shared" si="3"/>
        <v>73.02306513872135</v>
      </c>
      <c r="G125" s="11">
        <f t="shared" si="4"/>
        <v>55.129454764776838</v>
      </c>
      <c r="H125" s="12">
        <f t="shared" si="5"/>
        <v>0.75495947287405485</v>
      </c>
    </row>
    <row r="126" spans="1:8">
      <c r="A126" s="9">
        <v>2022</v>
      </c>
      <c r="B126" s="9" t="s">
        <v>170</v>
      </c>
      <c r="C126" s="10">
        <v>65690317.399999999</v>
      </c>
      <c r="D126" s="11">
        <v>2178221673.73</v>
      </c>
      <c r="E126" s="11">
        <v>1646520935.9400001</v>
      </c>
      <c r="F126" s="11">
        <f t="shared" si="3"/>
        <v>33.158945792062802</v>
      </c>
      <c r="G126" s="11">
        <f t="shared" si="4"/>
        <v>25.06489542308103</v>
      </c>
      <c r="H126" s="12">
        <f t="shared" si="5"/>
        <v>0.75590145658613694</v>
      </c>
    </row>
    <row r="127" spans="1:8">
      <c r="A127" s="9">
        <v>2022</v>
      </c>
      <c r="B127" s="9" t="s">
        <v>171</v>
      </c>
      <c r="C127" s="10">
        <v>6176716.9000000004</v>
      </c>
      <c r="D127" s="11">
        <v>1097410255.0799999</v>
      </c>
      <c r="E127" s="11">
        <v>850327327.37</v>
      </c>
      <c r="F127" s="11">
        <f t="shared" si="3"/>
        <v>177.66886079561132</v>
      </c>
      <c r="G127" s="11">
        <f t="shared" si="4"/>
        <v>137.66655346791109</v>
      </c>
      <c r="H127" s="12">
        <f t="shared" si="5"/>
        <v>0.77484908076425085</v>
      </c>
    </row>
    <row r="128" spans="1:8">
      <c r="A128" s="9">
        <v>2023</v>
      </c>
      <c r="B128" s="9" t="s">
        <v>46</v>
      </c>
      <c r="C128" s="10">
        <v>109468.5</v>
      </c>
      <c r="D128" s="11">
        <v>9275095.5700000003</v>
      </c>
      <c r="E128" s="11">
        <v>7029531.5499999998</v>
      </c>
      <c r="F128" s="11">
        <f t="shared" si="3"/>
        <v>84.728443068097221</v>
      </c>
      <c r="G128" s="11">
        <f t="shared" si="4"/>
        <v>64.21510799910476</v>
      </c>
      <c r="H128" s="12">
        <f t="shared" si="5"/>
        <v>0.75789316637736803</v>
      </c>
    </row>
    <row r="129" spans="1:8">
      <c r="A129" s="9">
        <v>2023</v>
      </c>
      <c r="B129" s="9" t="s">
        <v>47</v>
      </c>
      <c r="C129" s="10">
        <v>29018</v>
      </c>
      <c r="D129" s="11">
        <v>2481900.6</v>
      </c>
      <c r="E129" s="11">
        <v>1871922.66</v>
      </c>
      <c r="F129" s="11">
        <f t="shared" si="3"/>
        <v>85.529691915362875</v>
      </c>
      <c r="G129" s="11">
        <f t="shared" si="4"/>
        <v>64.509017161761662</v>
      </c>
      <c r="H129" s="12">
        <f t="shared" si="5"/>
        <v>0.75422950459820992</v>
      </c>
    </row>
    <row r="130" spans="1:8">
      <c r="A130" s="9">
        <v>2023</v>
      </c>
      <c r="B130" s="9" t="s">
        <v>48</v>
      </c>
      <c r="C130" s="10">
        <v>1034868</v>
      </c>
      <c r="D130" s="11">
        <v>86168117.670000002</v>
      </c>
      <c r="E130" s="11">
        <v>64967343.670000002</v>
      </c>
      <c r="F130" s="11">
        <f t="shared" ref="F130:F193" si="6">IFERROR(D130/C130,0)</f>
        <v>83.264839254861485</v>
      </c>
      <c r="G130" s="11">
        <f t="shared" ref="G130:G193" si="7">IFERROR(E130/C130,0)</f>
        <v>62.778386876393903</v>
      </c>
      <c r="H130" s="12">
        <f t="shared" ref="H130:H193" si="8">IFERROR(E130/D130,0)</f>
        <v>0.75396034434460912</v>
      </c>
    </row>
    <row r="131" spans="1:8">
      <c r="A131" s="9">
        <v>2023</v>
      </c>
      <c r="B131" s="9" t="s">
        <v>49</v>
      </c>
      <c r="C131" s="10">
        <v>8555831</v>
      </c>
      <c r="D131" s="11">
        <v>125859775.62</v>
      </c>
      <c r="E131" s="11">
        <v>101654175.95999999</v>
      </c>
      <c r="F131" s="11">
        <f t="shared" si="6"/>
        <v>14.710409265914674</v>
      </c>
      <c r="G131" s="11">
        <f t="shared" si="7"/>
        <v>11.881274415074349</v>
      </c>
      <c r="H131" s="12">
        <f t="shared" si="8"/>
        <v>0.80767803262988203</v>
      </c>
    </row>
    <row r="132" spans="1:8">
      <c r="A132" s="9">
        <v>2023</v>
      </c>
      <c r="B132" s="9" t="s">
        <v>50</v>
      </c>
      <c r="C132" s="10">
        <v>22854255.300000001</v>
      </c>
      <c r="D132" s="11">
        <v>557946838.16999996</v>
      </c>
      <c r="E132" s="11">
        <v>422676609.51999998</v>
      </c>
      <c r="F132" s="11">
        <f t="shared" si="6"/>
        <v>24.413258312118355</v>
      </c>
      <c r="G132" s="11">
        <f t="shared" si="7"/>
        <v>18.494438080421723</v>
      </c>
      <c r="H132" s="12">
        <f t="shared" si="8"/>
        <v>0.75755713735439312</v>
      </c>
    </row>
    <row r="133" spans="1:8">
      <c r="A133" s="9">
        <v>2023</v>
      </c>
      <c r="B133" s="9" t="s">
        <v>51</v>
      </c>
      <c r="C133" s="10">
        <v>116525354</v>
      </c>
      <c r="D133" s="11">
        <v>5656030047.5299997</v>
      </c>
      <c r="E133" s="11">
        <v>4397119817.0299997</v>
      </c>
      <c r="F133" s="11">
        <f t="shared" si="6"/>
        <v>48.539050544570756</v>
      </c>
      <c r="G133" s="11">
        <f t="shared" si="7"/>
        <v>37.735305374227828</v>
      </c>
      <c r="H133" s="12">
        <f t="shared" si="8"/>
        <v>0.77742158016827212</v>
      </c>
    </row>
    <row r="134" spans="1:8">
      <c r="A134" s="9">
        <v>2023</v>
      </c>
      <c r="B134" s="9" t="s">
        <v>52</v>
      </c>
      <c r="C134" s="10">
        <v>20929876.300000001</v>
      </c>
      <c r="D134" s="11">
        <v>6823664397.9300003</v>
      </c>
      <c r="E134" s="11">
        <v>5326020079.6599998</v>
      </c>
      <c r="F134" s="11">
        <f t="shared" si="6"/>
        <v>326.02507057960969</v>
      </c>
      <c r="G134" s="11">
        <f t="shared" si="7"/>
        <v>254.4697351918893</v>
      </c>
      <c r="H134" s="12">
        <f t="shared" si="8"/>
        <v>0.78052198482617052</v>
      </c>
    </row>
    <row r="135" spans="1:8">
      <c r="A135" s="9">
        <v>2023</v>
      </c>
      <c r="B135" s="9" t="s">
        <v>53</v>
      </c>
      <c r="C135" s="10">
        <v>357467</v>
      </c>
      <c r="D135" s="11">
        <v>43389291.439999998</v>
      </c>
      <c r="E135" s="11">
        <v>33703277.880000003</v>
      </c>
      <c r="F135" s="11">
        <f t="shared" si="6"/>
        <v>121.37985167861648</v>
      </c>
      <c r="G135" s="11">
        <f t="shared" si="7"/>
        <v>94.283606262955743</v>
      </c>
      <c r="H135" s="12">
        <f t="shared" si="8"/>
        <v>0.77676488279615941</v>
      </c>
    </row>
    <row r="136" spans="1:8">
      <c r="A136" s="9">
        <v>2023</v>
      </c>
      <c r="B136" s="9" t="s">
        <v>54</v>
      </c>
      <c r="C136" s="10">
        <v>17694262.899999999</v>
      </c>
      <c r="D136" s="11">
        <v>1791770012.2</v>
      </c>
      <c r="E136" s="11">
        <v>1390577864.52</v>
      </c>
      <c r="F136" s="11">
        <f t="shared" si="6"/>
        <v>101.26276648687073</v>
      </c>
      <c r="G136" s="11">
        <f t="shared" si="7"/>
        <v>78.589194270420847</v>
      </c>
      <c r="H136" s="12">
        <f t="shared" si="8"/>
        <v>0.77609171659960874</v>
      </c>
    </row>
    <row r="137" spans="1:8">
      <c r="A137" s="9">
        <v>2023</v>
      </c>
      <c r="B137" s="9" t="s">
        <v>55</v>
      </c>
      <c r="C137" s="10">
        <v>2325645.5</v>
      </c>
      <c r="D137" s="11">
        <v>77760809.189999998</v>
      </c>
      <c r="E137" s="11">
        <v>55087655.810000002</v>
      </c>
      <c r="F137" s="11">
        <f t="shared" si="6"/>
        <v>33.436226282122533</v>
      </c>
      <c r="G137" s="11">
        <f t="shared" si="7"/>
        <v>23.687039065068173</v>
      </c>
      <c r="H137" s="12">
        <f t="shared" si="8"/>
        <v>0.70842441563846592</v>
      </c>
    </row>
    <row r="138" spans="1:8">
      <c r="A138" s="9">
        <v>2023</v>
      </c>
      <c r="B138" s="9" t="s">
        <v>56</v>
      </c>
      <c r="C138" s="10">
        <v>9383768.0999999996</v>
      </c>
      <c r="D138" s="11">
        <v>743064508.17999995</v>
      </c>
      <c r="E138" s="11">
        <v>558796379.82000005</v>
      </c>
      <c r="F138" s="11">
        <f t="shared" si="6"/>
        <v>79.186154246501459</v>
      </c>
      <c r="G138" s="11">
        <f t="shared" si="7"/>
        <v>59.549252908327951</v>
      </c>
      <c r="H138" s="12">
        <f t="shared" si="8"/>
        <v>0.7520159739410367</v>
      </c>
    </row>
    <row r="139" spans="1:8">
      <c r="A139" s="9">
        <v>2023</v>
      </c>
      <c r="B139" s="9" t="s">
        <v>57</v>
      </c>
      <c r="C139" s="10">
        <v>513192</v>
      </c>
      <c r="D139" s="11">
        <v>174987759.06999999</v>
      </c>
      <c r="E139" s="11">
        <v>136488524.97999999</v>
      </c>
      <c r="F139" s="11">
        <f t="shared" si="6"/>
        <v>340.97912490841634</v>
      </c>
      <c r="G139" s="11">
        <f t="shared" si="7"/>
        <v>265.9599623142995</v>
      </c>
      <c r="H139" s="12">
        <f t="shared" si="8"/>
        <v>0.77998898726053612</v>
      </c>
    </row>
    <row r="140" spans="1:8">
      <c r="A140" s="9">
        <v>2023</v>
      </c>
      <c r="B140" s="9" t="s">
        <v>58</v>
      </c>
      <c r="C140" s="10">
        <v>60954319.5</v>
      </c>
      <c r="D140" s="11">
        <v>4967417359.4200001</v>
      </c>
      <c r="E140" s="11">
        <v>3703782883.1500001</v>
      </c>
      <c r="F140" s="11">
        <f t="shared" si="6"/>
        <v>81.494099190460162</v>
      </c>
      <c r="G140" s="11">
        <f t="shared" si="7"/>
        <v>60.763255394066043</v>
      </c>
      <c r="H140" s="12">
        <f t="shared" si="8"/>
        <v>0.7456154003501041</v>
      </c>
    </row>
    <row r="141" spans="1:8">
      <c r="A141" s="9">
        <v>2023</v>
      </c>
      <c r="B141" s="9" t="s">
        <v>59</v>
      </c>
      <c r="C141" s="10">
        <v>22528388</v>
      </c>
      <c r="D141" s="11">
        <v>950528028.71000004</v>
      </c>
      <c r="E141" s="11">
        <v>931516503.26999998</v>
      </c>
      <c r="F141" s="11">
        <f t="shared" si="6"/>
        <v>42.19245641143965</v>
      </c>
      <c r="G141" s="11">
        <f t="shared" si="7"/>
        <v>41.348564454323139</v>
      </c>
      <c r="H141" s="12">
        <f t="shared" si="8"/>
        <v>0.97999898491599313</v>
      </c>
    </row>
    <row r="142" spans="1:8">
      <c r="A142" s="9">
        <v>2023</v>
      </c>
      <c r="B142" s="9" t="s">
        <v>60</v>
      </c>
      <c r="C142" s="10">
        <v>894513</v>
      </c>
      <c r="D142" s="11">
        <v>60487296.689999998</v>
      </c>
      <c r="E142" s="11">
        <v>44457882.950000003</v>
      </c>
      <c r="F142" s="11">
        <f t="shared" si="6"/>
        <v>67.620366266337101</v>
      </c>
      <c r="G142" s="11">
        <f t="shared" si="7"/>
        <v>49.700656055306077</v>
      </c>
      <c r="H142" s="12">
        <f t="shared" si="8"/>
        <v>0.73499536899208062</v>
      </c>
    </row>
    <row r="143" spans="1:8">
      <c r="A143" s="9">
        <v>2023</v>
      </c>
      <c r="B143" s="9" t="s">
        <v>61</v>
      </c>
      <c r="C143" s="10">
        <v>100113</v>
      </c>
      <c r="D143" s="11">
        <v>5865107.7199999997</v>
      </c>
      <c r="E143" s="11">
        <v>4377954.07</v>
      </c>
      <c r="F143" s="11">
        <f t="shared" si="6"/>
        <v>58.584876289792533</v>
      </c>
      <c r="G143" s="11">
        <f t="shared" si="7"/>
        <v>43.730125658006457</v>
      </c>
      <c r="H143" s="12">
        <f t="shared" si="8"/>
        <v>0.74644052232343316</v>
      </c>
    </row>
    <row r="144" spans="1:8">
      <c r="A144" s="9">
        <v>2023</v>
      </c>
      <c r="B144" s="9" t="s">
        <v>62</v>
      </c>
      <c r="C144" s="10">
        <v>7563524.2000000002</v>
      </c>
      <c r="D144" s="11">
        <v>1054520726.77</v>
      </c>
      <c r="E144" s="11">
        <v>824579515.59000003</v>
      </c>
      <c r="F144" s="11">
        <f t="shared" si="6"/>
        <v>139.42187515840828</v>
      </c>
      <c r="G144" s="11">
        <f t="shared" si="7"/>
        <v>109.02054304129813</v>
      </c>
      <c r="H144" s="12">
        <f t="shared" si="8"/>
        <v>0.7819471866766331</v>
      </c>
    </row>
    <row r="145" spans="1:8">
      <c r="A145" s="9">
        <v>2023</v>
      </c>
      <c r="B145" s="9" t="s">
        <v>63</v>
      </c>
      <c r="C145" s="10">
        <v>18011599.600000001</v>
      </c>
      <c r="D145" s="11">
        <v>674727365.44000006</v>
      </c>
      <c r="E145" s="11">
        <v>471289145.88999999</v>
      </c>
      <c r="F145" s="11">
        <f t="shared" si="6"/>
        <v>37.460713119561021</v>
      </c>
      <c r="G145" s="11">
        <f t="shared" si="7"/>
        <v>26.165868460122773</v>
      </c>
      <c r="H145" s="12">
        <f t="shared" si="8"/>
        <v>0.69848826360061012</v>
      </c>
    </row>
    <row r="146" spans="1:8">
      <c r="A146" s="9">
        <v>2023</v>
      </c>
      <c r="B146" s="9" t="s">
        <v>64</v>
      </c>
      <c r="C146" s="10">
        <v>381073610.19999999</v>
      </c>
      <c r="D146" s="11">
        <v>7668176174.1599998</v>
      </c>
      <c r="E146" s="11">
        <v>7365751822.5699997</v>
      </c>
      <c r="F146" s="11">
        <f t="shared" si="6"/>
        <v>20.122558920140097</v>
      </c>
      <c r="G146" s="11">
        <f t="shared" si="7"/>
        <v>19.328947545604667</v>
      </c>
      <c r="H146" s="12">
        <f t="shared" si="8"/>
        <v>0.96056111065769445</v>
      </c>
    </row>
    <row r="147" spans="1:8">
      <c r="A147" s="9">
        <v>2023</v>
      </c>
      <c r="B147" s="9" t="s">
        <v>65</v>
      </c>
      <c r="C147" s="10">
        <v>6892696.7000000002</v>
      </c>
      <c r="D147" s="11">
        <v>713912799.67999995</v>
      </c>
      <c r="E147" s="11">
        <v>542609471.88</v>
      </c>
      <c r="F147" s="11">
        <f t="shared" si="6"/>
        <v>103.57525229276372</v>
      </c>
      <c r="G147" s="11">
        <f t="shared" si="7"/>
        <v>78.722377539113239</v>
      </c>
      <c r="H147" s="12">
        <f t="shared" si="8"/>
        <v>0.76005006791195795</v>
      </c>
    </row>
    <row r="148" spans="1:8">
      <c r="A148" s="9">
        <v>2023</v>
      </c>
      <c r="B148" s="9" t="s">
        <v>66</v>
      </c>
      <c r="C148" s="10">
        <v>800479.6</v>
      </c>
      <c r="D148" s="11">
        <v>163854339.75</v>
      </c>
      <c r="E148" s="11">
        <v>126028517.06</v>
      </c>
      <c r="F148" s="11">
        <f t="shared" si="6"/>
        <v>204.69520990915947</v>
      </c>
      <c r="G148" s="11">
        <f t="shared" si="7"/>
        <v>157.44126028945647</v>
      </c>
      <c r="H148" s="12">
        <f t="shared" si="8"/>
        <v>0.76914970486767353</v>
      </c>
    </row>
    <row r="149" spans="1:8">
      <c r="A149" s="9">
        <v>2023</v>
      </c>
      <c r="B149" s="9" t="s">
        <v>67</v>
      </c>
      <c r="C149" s="10">
        <v>2813902.5</v>
      </c>
      <c r="D149" s="11">
        <v>352182565.20999998</v>
      </c>
      <c r="E149" s="11">
        <v>271899713.50999999</v>
      </c>
      <c r="F149" s="11">
        <f t="shared" si="6"/>
        <v>125.15805547988958</v>
      </c>
      <c r="G149" s="11">
        <f t="shared" si="7"/>
        <v>96.627268894355794</v>
      </c>
      <c r="H149" s="12">
        <f t="shared" si="8"/>
        <v>0.77204194747082722</v>
      </c>
    </row>
    <row r="150" spans="1:8">
      <c r="A150" s="9">
        <v>2023</v>
      </c>
      <c r="B150" s="9" t="s">
        <v>172</v>
      </c>
      <c r="C150" s="10">
        <v>132</v>
      </c>
      <c r="D150" s="11">
        <v>11739.22</v>
      </c>
      <c r="E150" s="11">
        <v>9445.59</v>
      </c>
      <c r="F150" s="11">
        <f t="shared" si="6"/>
        <v>88.933484848484838</v>
      </c>
      <c r="G150" s="11">
        <f t="shared" si="7"/>
        <v>71.557500000000005</v>
      </c>
      <c r="H150" s="12">
        <f t="shared" si="8"/>
        <v>0.80461819439451687</v>
      </c>
    </row>
    <row r="151" spans="1:8">
      <c r="A151" s="9">
        <v>2023</v>
      </c>
      <c r="B151" s="9" t="s">
        <v>68</v>
      </c>
      <c r="C151" s="10">
        <v>72769</v>
      </c>
      <c r="D151" s="11">
        <v>11999409.92</v>
      </c>
      <c r="E151" s="11">
        <v>9227515.4700000007</v>
      </c>
      <c r="F151" s="11">
        <f t="shared" si="6"/>
        <v>164.89727658755788</v>
      </c>
      <c r="G151" s="11">
        <f t="shared" si="7"/>
        <v>126.80558300924845</v>
      </c>
      <c r="H151" s="12">
        <f t="shared" si="8"/>
        <v>0.76899743666728582</v>
      </c>
    </row>
    <row r="152" spans="1:8">
      <c r="A152" s="9">
        <v>2023</v>
      </c>
      <c r="B152" s="9" t="s">
        <v>69</v>
      </c>
      <c r="C152" s="10">
        <v>8184</v>
      </c>
      <c r="D152" s="11">
        <v>754892.29</v>
      </c>
      <c r="E152" s="11">
        <v>571803.35</v>
      </c>
      <c r="F152" s="11">
        <f t="shared" si="6"/>
        <v>92.240015884652991</v>
      </c>
      <c r="G152" s="11">
        <f t="shared" si="7"/>
        <v>69.868444525904195</v>
      </c>
      <c r="H152" s="12">
        <f t="shared" si="8"/>
        <v>0.75746349191087903</v>
      </c>
    </row>
    <row r="153" spans="1:8">
      <c r="A153" s="9">
        <v>2023</v>
      </c>
      <c r="B153" s="9" t="s">
        <v>70</v>
      </c>
      <c r="C153" s="10">
        <v>51483786.100000001</v>
      </c>
      <c r="D153" s="11">
        <v>4079769496.3299999</v>
      </c>
      <c r="E153" s="11">
        <v>3009393909.7600002</v>
      </c>
      <c r="F153" s="11">
        <f t="shared" si="6"/>
        <v>79.243773727239528</v>
      </c>
      <c r="G153" s="11">
        <f t="shared" si="7"/>
        <v>58.453236207505725</v>
      </c>
      <c r="H153" s="12">
        <f t="shared" si="8"/>
        <v>0.73763822011687974</v>
      </c>
    </row>
    <row r="154" spans="1:8">
      <c r="A154" s="9">
        <v>2023</v>
      </c>
      <c r="B154" s="9" t="s">
        <v>71</v>
      </c>
      <c r="C154" s="10">
        <v>211062222.80000001</v>
      </c>
      <c r="D154" s="11">
        <v>5220762285.0100002</v>
      </c>
      <c r="E154" s="11">
        <v>4064303327.9499998</v>
      </c>
      <c r="F154" s="11">
        <f t="shared" si="6"/>
        <v>24.735654802409293</v>
      </c>
      <c r="G154" s="11">
        <f t="shared" si="7"/>
        <v>19.256422461736719</v>
      </c>
      <c r="H154" s="12">
        <f t="shared" si="8"/>
        <v>0.778488486177496</v>
      </c>
    </row>
    <row r="155" spans="1:8">
      <c r="A155" s="9">
        <v>2023</v>
      </c>
      <c r="B155" s="9" t="s">
        <v>72</v>
      </c>
      <c r="C155" s="10">
        <v>24530389.100000001</v>
      </c>
      <c r="D155" s="11">
        <v>2614891662.1199999</v>
      </c>
      <c r="E155" s="11">
        <v>2024113541.02</v>
      </c>
      <c r="F155" s="11">
        <f t="shared" si="6"/>
        <v>106.59805074677759</v>
      </c>
      <c r="G155" s="11">
        <f t="shared" si="7"/>
        <v>82.514530559158558</v>
      </c>
      <c r="H155" s="12">
        <f t="shared" si="8"/>
        <v>0.77407166436064434</v>
      </c>
    </row>
    <row r="156" spans="1:8">
      <c r="A156" s="9">
        <v>2023</v>
      </c>
      <c r="B156" s="9" t="s">
        <v>73</v>
      </c>
      <c r="C156" s="10">
        <v>18391247.5</v>
      </c>
      <c r="D156" s="11">
        <v>712929747.70000005</v>
      </c>
      <c r="E156" s="11">
        <v>527244862.08999997</v>
      </c>
      <c r="F156" s="11">
        <f t="shared" si="6"/>
        <v>38.764621470077003</v>
      </c>
      <c r="G156" s="11">
        <f t="shared" si="7"/>
        <v>28.668248964079243</v>
      </c>
      <c r="H156" s="12">
        <f t="shared" si="8"/>
        <v>0.73954672783813191</v>
      </c>
    </row>
    <row r="157" spans="1:8">
      <c r="A157" s="9">
        <v>2023</v>
      </c>
      <c r="B157" s="9" t="s">
        <v>74</v>
      </c>
      <c r="C157" s="10">
        <v>122337908</v>
      </c>
      <c r="D157" s="11">
        <v>6632441960.3999996</v>
      </c>
      <c r="E157" s="11">
        <v>4747465790.8500004</v>
      </c>
      <c r="F157" s="11">
        <f t="shared" si="6"/>
        <v>54.214119473090875</v>
      </c>
      <c r="G157" s="11">
        <f t="shared" si="7"/>
        <v>38.806171108059168</v>
      </c>
      <c r="H157" s="12">
        <f t="shared" si="8"/>
        <v>0.71579454734703518</v>
      </c>
    </row>
    <row r="158" spans="1:8">
      <c r="A158" s="9">
        <v>2023</v>
      </c>
      <c r="B158" s="9" t="s">
        <v>75</v>
      </c>
      <c r="C158" s="10">
        <v>27517758.199999999</v>
      </c>
      <c r="D158" s="11">
        <v>1754151833.74</v>
      </c>
      <c r="E158" s="11">
        <v>1348344745.1400001</v>
      </c>
      <c r="F158" s="11">
        <f t="shared" si="6"/>
        <v>63.746175142275945</v>
      </c>
      <c r="G158" s="11">
        <f t="shared" si="7"/>
        <v>48.999076717666632</v>
      </c>
      <c r="H158" s="12">
        <f t="shared" si="8"/>
        <v>0.76865908594994037</v>
      </c>
    </row>
    <row r="159" spans="1:8">
      <c r="A159" s="9">
        <v>2023</v>
      </c>
      <c r="B159" s="9" t="s">
        <v>76</v>
      </c>
      <c r="C159" s="10">
        <v>9822850.4000000004</v>
      </c>
      <c r="D159" s="11">
        <v>512771309.75999999</v>
      </c>
      <c r="E159" s="11">
        <v>388085649.5</v>
      </c>
      <c r="F159" s="11">
        <f t="shared" si="6"/>
        <v>52.201885285761854</v>
      </c>
      <c r="G159" s="11">
        <f t="shared" si="7"/>
        <v>39.508455661708943</v>
      </c>
      <c r="H159" s="12">
        <f t="shared" si="8"/>
        <v>0.75683963223613571</v>
      </c>
    </row>
    <row r="160" spans="1:8">
      <c r="A160" s="9">
        <v>2023</v>
      </c>
      <c r="B160" s="9" t="s">
        <v>77</v>
      </c>
      <c r="C160" s="10">
        <v>11549634.1</v>
      </c>
      <c r="D160" s="11">
        <v>1757969334.4300001</v>
      </c>
      <c r="E160" s="11">
        <v>1353260807.24</v>
      </c>
      <c r="F160" s="11">
        <f t="shared" si="6"/>
        <v>152.2099591388787</v>
      </c>
      <c r="G160" s="11">
        <f t="shared" si="7"/>
        <v>117.16914973436259</v>
      </c>
      <c r="H160" s="12">
        <f t="shared" si="8"/>
        <v>0.76978635561852859</v>
      </c>
    </row>
    <row r="161" spans="1:8">
      <c r="A161" s="9">
        <v>2023</v>
      </c>
      <c r="B161" s="9" t="s">
        <v>78</v>
      </c>
      <c r="C161" s="10">
        <v>2889564.5</v>
      </c>
      <c r="D161" s="11">
        <v>265194078.50999999</v>
      </c>
      <c r="E161" s="11">
        <v>197068421.28</v>
      </c>
      <c r="F161" s="11">
        <f t="shared" si="6"/>
        <v>91.776486910051673</v>
      </c>
      <c r="G161" s="11">
        <f t="shared" si="7"/>
        <v>68.200042352402932</v>
      </c>
      <c r="H161" s="12">
        <f t="shared" si="8"/>
        <v>0.74311018702692833</v>
      </c>
    </row>
    <row r="162" spans="1:8">
      <c r="A162" s="9">
        <v>2023</v>
      </c>
      <c r="B162" s="9" t="s">
        <v>79</v>
      </c>
      <c r="C162" s="10">
        <v>125398</v>
      </c>
      <c r="D162" s="11">
        <v>12780743.210000001</v>
      </c>
      <c r="E162" s="11">
        <v>9577604.4499999993</v>
      </c>
      <c r="F162" s="11">
        <f t="shared" si="6"/>
        <v>101.92142785371378</v>
      </c>
      <c r="G162" s="11">
        <f t="shared" si="7"/>
        <v>76.377649165058443</v>
      </c>
      <c r="H162" s="12">
        <f t="shared" si="8"/>
        <v>0.74937773904308014</v>
      </c>
    </row>
    <row r="163" spans="1:8">
      <c r="A163" s="9">
        <v>2023</v>
      </c>
      <c r="B163" s="9" t="s">
        <v>80</v>
      </c>
      <c r="C163" s="10">
        <v>4490118</v>
      </c>
      <c r="D163" s="11">
        <v>146090007.62</v>
      </c>
      <c r="E163" s="11">
        <v>112253160.78</v>
      </c>
      <c r="F163" s="11">
        <f t="shared" si="6"/>
        <v>32.535894963116782</v>
      </c>
      <c r="G163" s="11">
        <f t="shared" si="7"/>
        <v>25.000046943087021</v>
      </c>
      <c r="H163" s="12">
        <f t="shared" si="8"/>
        <v>0.76838356441178202</v>
      </c>
    </row>
    <row r="164" spans="1:8">
      <c r="A164" s="9">
        <v>2023</v>
      </c>
      <c r="B164" s="9" t="s">
        <v>81</v>
      </c>
      <c r="C164" s="10">
        <v>3203183</v>
      </c>
      <c r="D164" s="11">
        <v>292813108</v>
      </c>
      <c r="E164" s="11">
        <v>218187000.30000001</v>
      </c>
      <c r="F164" s="11">
        <f t="shared" si="6"/>
        <v>91.413168713745051</v>
      </c>
      <c r="G164" s="11">
        <f t="shared" si="7"/>
        <v>68.115683774545516</v>
      </c>
      <c r="H164" s="12">
        <f t="shared" si="8"/>
        <v>0.74514082306725149</v>
      </c>
    </row>
    <row r="165" spans="1:8">
      <c r="A165" s="9">
        <v>2023</v>
      </c>
      <c r="B165" s="9" t="s">
        <v>82</v>
      </c>
      <c r="C165" s="10">
        <v>12422044</v>
      </c>
      <c r="D165" s="11">
        <v>249658380.59999999</v>
      </c>
      <c r="E165" s="11">
        <v>193381555.44999999</v>
      </c>
      <c r="F165" s="11">
        <f t="shared" si="6"/>
        <v>20.098011293471508</v>
      </c>
      <c r="G165" s="11">
        <f t="shared" si="7"/>
        <v>15.567611533979431</v>
      </c>
      <c r="H165" s="12">
        <f t="shared" si="8"/>
        <v>0.77458467440688028</v>
      </c>
    </row>
    <row r="166" spans="1:8">
      <c r="A166" s="9">
        <v>2023</v>
      </c>
      <c r="B166" s="9" t="s">
        <v>83</v>
      </c>
      <c r="C166" s="10">
        <v>422836633.30000001</v>
      </c>
      <c r="D166" s="11">
        <v>8253216095.3900003</v>
      </c>
      <c r="E166" s="11">
        <v>6385506365</v>
      </c>
      <c r="F166" s="11">
        <f t="shared" si="6"/>
        <v>19.518687467966839</v>
      </c>
      <c r="G166" s="11">
        <f t="shared" si="7"/>
        <v>15.1015921093798</v>
      </c>
      <c r="H166" s="12">
        <f t="shared" si="8"/>
        <v>0.77369916056926624</v>
      </c>
    </row>
    <row r="167" spans="1:8">
      <c r="A167" s="9">
        <v>2023</v>
      </c>
      <c r="B167" s="9" t="s">
        <v>84</v>
      </c>
      <c r="C167" s="10">
        <v>989872.9</v>
      </c>
      <c r="D167" s="11">
        <v>31942061.699999999</v>
      </c>
      <c r="E167" s="11">
        <v>24795860.960000001</v>
      </c>
      <c r="F167" s="11">
        <f t="shared" si="6"/>
        <v>32.268851586905754</v>
      </c>
      <c r="G167" s="11">
        <f t="shared" si="7"/>
        <v>25.049540158135454</v>
      </c>
      <c r="H167" s="12">
        <f t="shared" si="8"/>
        <v>0.77627615878032075</v>
      </c>
    </row>
    <row r="168" spans="1:8">
      <c r="A168" s="9">
        <v>2023</v>
      </c>
      <c r="B168" s="9" t="s">
        <v>85</v>
      </c>
      <c r="C168" s="10">
        <v>148668</v>
      </c>
      <c r="D168" s="11">
        <v>7623161.8600000003</v>
      </c>
      <c r="E168" s="11">
        <v>5958538.5499999998</v>
      </c>
      <c r="F168" s="11">
        <f t="shared" si="6"/>
        <v>51.276413619608796</v>
      </c>
      <c r="G168" s="11">
        <f t="shared" si="7"/>
        <v>40.079496260123229</v>
      </c>
      <c r="H168" s="12">
        <f t="shared" si="8"/>
        <v>0.78163610578248954</v>
      </c>
    </row>
    <row r="169" spans="1:8">
      <c r="A169" s="9">
        <v>2023</v>
      </c>
      <c r="B169" s="9" t="s">
        <v>86</v>
      </c>
      <c r="C169" s="10">
        <v>1727102.2</v>
      </c>
      <c r="D169" s="11">
        <v>15651626.029999999</v>
      </c>
      <c r="E169" s="11">
        <v>12249298.029999999</v>
      </c>
      <c r="F169" s="11">
        <f t="shared" si="6"/>
        <v>9.0623623952305774</v>
      </c>
      <c r="G169" s="11">
        <f t="shared" si="7"/>
        <v>7.0923990659035692</v>
      </c>
      <c r="H169" s="12">
        <f t="shared" si="8"/>
        <v>0.78262143540366713</v>
      </c>
    </row>
    <row r="170" spans="1:8">
      <c r="A170" s="9">
        <v>2023</v>
      </c>
      <c r="B170" s="9" t="s">
        <v>87</v>
      </c>
      <c r="C170" s="10">
        <v>961256.5</v>
      </c>
      <c r="D170" s="11">
        <v>75395397.819999993</v>
      </c>
      <c r="E170" s="11">
        <v>57985796.219999999</v>
      </c>
      <c r="F170" s="11">
        <f t="shared" si="6"/>
        <v>78.434213781649319</v>
      </c>
      <c r="G170" s="11">
        <f t="shared" si="7"/>
        <v>60.3229171610283</v>
      </c>
      <c r="H170" s="12">
        <f t="shared" si="8"/>
        <v>0.76908933299133297</v>
      </c>
    </row>
    <row r="171" spans="1:8">
      <c r="A171" s="9">
        <v>2023</v>
      </c>
      <c r="B171" s="9" t="s">
        <v>88</v>
      </c>
      <c r="C171" s="10">
        <v>160127</v>
      </c>
      <c r="D171" s="11">
        <v>8825298.9100000001</v>
      </c>
      <c r="E171" s="11">
        <v>6686851.1699999999</v>
      </c>
      <c r="F171" s="11">
        <f t="shared" si="6"/>
        <v>55.114371155395403</v>
      </c>
      <c r="G171" s="11">
        <f t="shared" si="7"/>
        <v>41.759673071999103</v>
      </c>
      <c r="H171" s="12">
        <f t="shared" si="8"/>
        <v>0.75769118283609493</v>
      </c>
    </row>
    <row r="172" spans="1:8">
      <c r="A172" s="9">
        <v>2023</v>
      </c>
      <c r="B172" s="9" t="s">
        <v>89</v>
      </c>
      <c r="C172" s="10">
        <v>13417460.800000001</v>
      </c>
      <c r="D172" s="11">
        <v>1324058805.6600001</v>
      </c>
      <c r="E172" s="11">
        <v>1020051201.09</v>
      </c>
      <c r="F172" s="11">
        <f t="shared" si="6"/>
        <v>98.681771864017676</v>
      </c>
      <c r="G172" s="11">
        <f t="shared" si="7"/>
        <v>76.024161075991373</v>
      </c>
      <c r="H172" s="12">
        <f t="shared" si="8"/>
        <v>0.77039720345467422</v>
      </c>
    </row>
    <row r="173" spans="1:8">
      <c r="A173" s="9">
        <v>2023</v>
      </c>
      <c r="B173" s="9" t="s">
        <v>90</v>
      </c>
      <c r="C173" s="10">
        <v>28142845.800000001</v>
      </c>
      <c r="D173" s="11">
        <v>1184257387.46</v>
      </c>
      <c r="E173" s="11">
        <v>905603254.21000004</v>
      </c>
      <c r="F173" s="11">
        <f t="shared" si="6"/>
        <v>42.080228697411975</v>
      </c>
      <c r="G173" s="11">
        <f t="shared" si="7"/>
        <v>32.17880880440314</v>
      </c>
      <c r="H173" s="12">
        <f t="shared" si="8"/>
        <v>0.76470137640630764</v>
      </c>
    </row>
    <row r="174" spans="1:8">
      <c r="A174" s="9">
        <v>2023</v>
      </c>
      <c r="B174" s="9" t="s">
        <v>91</v>
      </c>
      <c r="C174" s="10">
        <v>918935</v>
      </c>
      <c r="D174" s="11">
        <v>265526558.91</v>
      </c>
      <c r="E174" s="11">
        <v>205042769.33000001</v>
      </c>
      <c r="F174" s="11">
        <f t="shared" si="6"/>
        <v>288.9503163009353</v>
      </c>
      <c r="G174" s="11">
        <f t="shared" si="7"/>
        <v>223.13087359824146</v>
      </c>
      <c r="H174" s="12">
        <f t="shared" si="8"/>
        <v>0.77221190291363317</v>
      </c>
    </row>
    <row r="175" spans="1:8">
      <c r="A175" s="9">
        <v>2023</v>
      </c>
      <c r="B175" s="9" t="s">
        <v>92</v>
      </c>
      <c r="C175" s="10">
        <v>834872</v>
      </c>
      <c r="D175" s="11">
        <v>297707023.64999998</v>
      </c>
      <c r="E175" s="11">
        <v>229664520.30000001</v>
      </c>
      <c r="F175" s="11">
        <f t="shared" si="6"/>
        <v>356.59002056602685</v>
      </c>
      <c r="G175" s="11">
        <f t="shared" si="7"/>
        <v>275.08949910884542</v>
      </c>
      <c r="H175" s="12">
        <f t="shared" si="8"/>
        <v>0.77144474955352649</v>
      </c>
    </row>
    <row r="176" spans="1:8">
      <c r="A176" s="9">
        <v>2023</v>
      </c>
      <c r="B176" s="9" t="s">
        <v>93</v>
      </c>
      <c r="C176" s="10">
        <v>148309</v>
      </c>
      <c r="D176" s="11">
        <v>53471497.549999997</v>
      </c>
      <c r="E176" s="11">
        <v>41450370.399999999</v>
      </c>
      <c r="F176" s="11">
        <f t="shared" si="6"/>
        <v>360.54115090790174</v>
      </c>
      <c r="G176" s="11">
        <f t="shared" si="7"/>
        <v>279.48654768085549</v>
      </c>
      <c r="H176" s="12">
        <f t="shared" si="8"/>
        <v>0.77518626369573229</v>
      </c>
    </row>
    <row r="177" spans="1:8">
      <c r="A177" s="9">
        <v>2023</v>
      </c>
      <c r="B177" s="9" t="s">
        <v>94</v>
      </c>
      <c r="C177" s="10">
        <v>52011556.700000003</v>
      </c>
      <c r="D177" s="11">
        <v>766258790.34000003</v>
      </c>
      <c r="E177" s="11">
        <v>593251927.08000004</v>
      </c>
      <c r="F177" s="11">
        <f t="shared" si="6"/>
        <v>14.732471761223021</v>
      </c>
      <c r="G177" s="11">
        <f t="shared" si="7"/>
        <v>11.406155953028801</v>
      </c>
      <c r="H177" s="12">
        <f t="shared" si="8"/>
        <v>0.7742187555418002</v>
      </c>
    </row>
    <row r="178" spans="1:8">
      <c r="A178" s="9">
        <v>2023</v>
      </c>
      <c r="B178" s="9" t="s">
        <v>95</v>
      </c>
      <c r="C178" s="10">
        <v>14710</v>
      </c>
      <c r="D178" s="11">
        <v>1737864.41</v>
      </c>
      <c r="E178" s="11">
        <v>1354304.59</v>
      </c>
      <c r="F178" s="11">
        <f t="shared" si="6"/>
        <v>118.14170020394289</v>
      </c>
      <c r="G178" s="11">
        <f t="shared" si="7"/>
        <v>92.066933378653985</v>
      </c>
      <c r="H178" s="12">
        <f t="shared" si="8"/>
        <v>0.77929243628391021</v>
      </c>
    </row>
    <row r="179" spans="1:8">
      <c r="A179" s="9">
        <v>2023</v>
      </c>
      <c r="B179" s="9" t="s">
        <v>96</v>
      </c>
      <c r="C179" s="10">
        <v>8038</v>
      </c>
      <c r="D179" s="11">
        <v>9386</v>
      </c>
      <c r="E179" s="11">
        <v>7181.44</v>
      </c>
      <c r="F179" s="11">
        <f t="shared" si="6"/>
        <v>1.1677034088081613</v>
      </c>
      <c r="G179" s="11">
        <f t="shared" si="7"/>
        <v>0.89343617815376952</v>
      </c>
      <c r="H179" s="12">
        <f t="shared" si="8"/>
        <v>0.76512252290645644</v>
      </c>
    </row>
    <row r="180" spans="1:8">
      <c r="A180" s="9">
        <v>2023</v>
      </c>
      <c r="B180" s="9" t="s">
        <v>97</v>
      </c>
      <c r="C180" s="10">
        <v>177669308.90000001</v>
      </c>
      <c r="D180" s="11">
        <v>10015979350.040001</v>
      </c>
      <c r="E180" s="11">
        <v>7396899429.1099997</v>
      </c>
      <c r="F180" s="11">
        <f t="shared" si="6"/>
        <v>56.374279902655715</v>
      </c>
      <c r="G180" s="11">
        <f t="shared" si="7"/>
        <v>41.63296111695518</v>
      </c>
      <c r="H180" s="12">
        <f t="shared" si="8"/>
        <v>0.73850985216742271</v>
      </c>
    </row>
    <row r="181" spans="1:8">
      <c r="A181" s="9">
        <v>2023</v>
      </c>
      <c r="B181" s="9" t="s">
        <v>98</v>
      </c>
      <c r="C181" s="10">
        <v>13106319.300000001</v>
      </c>
      <c r="D181" s="11">
        <v>1251526881.54</v>
      </c>
      <c r="E181" s="11">
        <v>943027307.63999999</v>
      </c>
      <c r="F181" s="11">
        <f t="shared" si="6"/>
        <v>95.490339651651851</v>
      </c>
      <c r="G181" s="11">
        <f t="shared" si="7"/>
        <v>71.952108448937295</v>
      </c>
      <c r="H181" s="12">
        <f t="shared" si="8"/>
        <v>0.75350144016052445</v>
      </c>
    </row>
    <row r="182" spans="1:8">
      <c r="A182" s="9">
        <v>2023</v>
      </c>
      <c r="B182" s="9" t="s">
        <v>99</v>
      </c>
      <c r="C182" s="10">
        <v>7438055.7000000002</v>
      </c>
      <c r="D182" s="11">
        <v>404840666.19999999</v>
      </c>
      <c r="E182" s="11">
        <v>310756637.38</v>
      </c>
      <c r="F182" s="11">
        <f t="shared" si="6"/>
        <v>54.428291818250294</v>
      </c>
      <c r="G182" s="11">
        <f t="shared" si="7"/>
        <v>41.779283446344721</v>
      </c>
      <c r="H182" s="12">
        <f t="shared" si="8"/>
        <v>0.76760232685339846</v>
      </c>
    </row>
    <row r="183" spans="1:8">
      <c r="A183" s="9">
        <v>2023</v>
      </c>
      <c r="B183" s="9" t="s">
        <v>100</v>
      </c>
      <c r="C183" s="10">
        <v>7767382.5</v>
      </c>
      <c r="D183" s="11">
        <v>485867108.27999997</v>
      </c>
      <c r="E183" s="11">
        <v>376376265.43000001</v>
      </c>
      <c r="F183" s="11">
        <f t="shared" si="6"/>
        <v>62.552231498835027</v>
      </c>
      <c r="G183" s="11">
        <f t="shared" si="7"/>
        <v>48.45599729767396</v>
      </c>
      <c r="H183" s="12">
        <f t="shared" si="8"/>
        <v>0.77464857986043878</v>
      </c>
    </row>
    <row r="184" spans="1:8">
      <c r="A184" s="9">
        <v>2023</v>
      </c>
      <c r="B184" s="9" t="s">
        <v>101</v>
      </c>
      <c r="C184" s="10">
        <v>7094378.5</v>
      </c>
      <c r="D184" s="11">
        <v>624359294.71000004</v>
      </c>
      <c r="E184" s="11">
        <v>466618768.10000002</v>
      </c>
      <c r="F184" s="11">
        <f t="shared" si="6"/>
        <v>88.00760978710116</v>
      </c>
      <c r="G184" s="11">
        <f t="shared" si="7"/>
        <v>65.773029744606944</v>
      </c>
      <c r="H184" s="12">
        <f t="shared" si="8"/>
        <v>0.74735616503752589</v>
      </c>
    </row>
    <row r="185" spans="1:8">
      <c r="A185" s="9">
        <v>2023</v>
      </c>
      <c r="B185" s="9" t="s">
        <v>102</v>
      </c>
      <c r="C185" s="10">
        <v>23702</v>
      </c>
      <c r="D185" s="11">
        <v>1889068.43</v>
      </c>
      <c r="E185" s="11">
        <v>1790820.89</v>
      </c>
      <c r="F185" s="11">
        <f t="shared" si="6"/>
        <v>79.700802885832417</v>
      </c>
      <c r="G185" s="11">
        <f t="shared" si="7"/>
        <v>75.555686861868196</v>
      </c>
      <c r="H185" s="12">
        <f t="shared" si="8"/>
        <v>0.94799153993590368</v>
      </c>
    </row>
    <row r="186" spans="1:8">
      <c r="A186" s="9">
        <v>2023</v>
      </c>
      <c r="B186" s="9" t="s">
        <v>103</v>
      </c>
      <c r="C186" s="10">
        <v>38918192.799999997</v>
      </c>
      <c r="D186" s="11">
        <v>1578872368.49</v>
      </c>
      <c r="E186" s="11">
        <v>1544732956.3499999</v>
      </c>
      <c r="F186" s="11">
        <f t="shared" si="6"/>
        <v>40.569005261981232</v>
      </c>
      <c r="G186" s="11">
        <f t="shared" si="7"/>
        <v>39.691795667089657</v>
      </c>
      <c r="H186" s="12">
        <f t="shared" si="8"/>
        <v>0.97837734523617614</v>
      </c>
    </row>
    <row r="187" spans="1:8">
      <c r="A187" s="9">
        <v>2023</v>
      </c>
      <c r="B187" s="9" t="s">
        <v>104</v>
      </c>
      <c r="C187" s="10">
        <v>101654</v>
      </c>
      <c r="D187" s="11">
        <v>15457039.24</v>
      </c>
      <c r="E187" s="11">
        <v>11631780.49</v>
      </c>
      <c r="F187" s="11">
        <f t="shared" si="6"/>
        <v>152.05539614771678</v>
      </c>
      <c r="G187" s="11">
        <f t="shared" si="7"/>
        <v>114.42521189525253</v>
      </c>
      <c r="H187" s="12">
        <f t="shared" si="8"/>
        <v>0.75252319085139363</v>
      </c>
    </row>
    <row r="188" spans="1:8">
      <c r="A188" s="9">
        <v>2023</v>
      </c>
      <c r="B188" s="9" t="s">
        <v>105</v>
      </c>
      <c r="C188" s="10">
        <v>9332</v>
      </c>
      <c r="D188" s="11">
        <v>989619.38</v>
      </c>
      <c r="E188" s="11">
        <v>724566.4</v>
      </c>
      <c r="F188" s="11">
        <f t="shared" si="6"/>
        <v>106.04579725675096</v>
      </c>
      <c r="G188" s="11">
        <f t="shared" si="7"/>
        <v>77.643206172310329</v>
      </c>
      <c r="H188" s="12">
        <f t="shared" si="8"/>
        <v>0.73216674475392751</v>
      </c>
    </row>
    <row r="189" spans="1:8">
      <c r="A189" s="9">
        <v>2023</v>
      </c>
      <c r="B189" s="9" t="s">
        <v>106</v>
      </c>
      <c r="C189" s="10">
        <v>115778811.90000001</v>
      </c>
      <c r="D189" s="11">
        <v>2447468960.3200002</v>
      </c>
      <c r="E189" s="11">
        <v>1899938278.8299999</v>
      </c>
      <c r="F189" s="11">
        <f t="shared" si="6"/>
        <v>21.139178405405627</v>
      </c>
      <c r="G189" s="11">
        <f t="shared" si="7"/>
        <v>16.410068886101602</v>
      </c>
      <c r="H189" s="12">
        <f t="shared" si="8"/>
        <v>0.77628697631433408</v>
      </c>
    </row>
    <row r="190" spans="1:8">
      <c r="A190" s="9">
        <v>2023</v>
      </c>
      <c r="B190" s="9" t="s">
        <v>107</v>
      </c>
      <c r="C190" s="10">
        <v>728899793</v>
      </c>
      <c r="D190" s="11">
        <v>8835160795.9500008</v>
      </c>
      <c r="E190" s="11">
        <v>6787450441.8299999</v>
      </c>
      <c r="F190" s="11">
        <f t="shared" si="6"/>
        <v>12.121228296123279</v>
      </c>
      <c r="G190" s="11">
        <f t="shared" si="7"/>
        <v>9.3119116057013347</v>
      </c>
      <c r="H190" s="12">
        <f t="shared" si="8"/>
        <v>0.76823168231882522</v>
      </c>
    </row>
    <row r="191" spans="1:8">
      <c r="A191" s="9">
        <v>2023</v>
      </c>
      <c r="B191" s="9" t="s">
        <v>108</v>
      </c>
      <c r="C191" s="10">
        <v>52223238</v>
      </c>
      <c r="D191" s="11">
        <v>633064584.39999998</v>
      </c>
      <c r="E191" s="11">
        <v>493792727.56</v>
      </c>
      <c r="F191" s="11">
        <f t="shared" si="6"/>
        <v>12.122277527103929</v>
      </c>
      <c r="G191" s="11">
        <f t="shared" si="7"/>
        <v>9.4554215033545024</v>
      </c>
      <c r="H191" s="12">
        <f t="shared" si="8"/>
        <v>0.78000371483108988</v>
      </c>
    </row>
    <row r="192" spans="1:8">
      <c r="A192" s="9">
        <v>2023</v>
      </c>
      <c r="B192" s="9" t="s">
        <v>109</v>
      </c>
      <c r="C192" s="10">
        <v>338307</v>
      </c>
      <c r="D192" s="11">
        <v>11484321.49</v>
      </c>
      <c r="E192" s="11">
        <v>8841967.2899999991</v>
      </c>
      <c r="F192" s="11">
        <f t="shared" si="6"/>
        <v>33.946449497054452</v>
      </c>
      <c r="G192" s="11">
        <f t="shared" si="7"/>
        <v>26.13592769289432</v>
      </c>
      <c r="H192" s="12">
        <f t="shared" si="8"/>
        <v>0.76991638536931961</v>
      </c>
    </row>
    <row r="193" spans="1:8">
      <c r="A193" s="9">
        <v>2023</v>
      </c>
      <c r="B193" s="9" t="s">
        <v>110</v>
      </c>
      <c r="C193" s="10">
        <v>60091178</v>
      </c>
      <c r="D193" s="11">
        <v>459473758.13999999</v>
      </c>
      <c r="E193" s="11">
        <v>359469772.67000002</v>
      </c>
      <c r="F193" s="11">
        <f t="shared" si="6"/>
        <v>7.6462764324573564</v>
      </c>
      <c r="G193" s="11">
        <f t="shared" si="7"/>
        <v>5.9820723213314277</v>
      </c>
      <c r="H193" s="12">
        <f t="shared" si="8"/>
        <v>0.78235104029699754</v>
      </c>
    </row>
    <row r="194" spans="1:8">
      <c r="A194" s="9">
        <v>2023</v>
      </c>
      <c r="B194" s="9" t="s">
        <v>111</v>
      </c>
      <c r="C194" s="10">
        <v>1717431</v>
      </c>
      <c r="D194" s="11">
        <v>153378168.69</v>
      </c>
      <c r="E194" s="11">
        <v>118182391.42</v>
      </c>
      <c r="F194" s="11">
        <f t="shared" ref="F194:F257" si="9">IFERROR(D194/C194,0)</f>
        <v>89.306742856044863</v>
      </c>
      <c r="G194" s="11">
        <f t="shared" ref="G194:G257" si="10">IFERROR(E194/C194,0)</f>
        <v>68.813472809096851</v>
      </c>
      <c r="H194" s="12">
        <f t="shared" ref="H194:H257" si="11">IFERROR(E194/D194,0)</f>
        <v>0.77052942038227179</v>
      </c>
    </row>
    <row r="195" spans="1:8">
      <c r="A195" s="9">
        <v>2023</v>
      </c>
      <c r="B195" s="9" t="s">
        <v>112</v>
      </c>
      <c r="C195" s="10">
        <v>314435</v>
      </c>
      <c r="D195" s="11">
        <v>3365326.33</v>
      </c>
      <c r="E195" s="11">
        <v>2512160.09</v>
      </c>
      <c r="F195" s="11">
        <f t="shared" si="9"/>
        <v>10.702772687518884</v>
      </c>
      <c r="G195" s="11">
        <f t="shared" si="10"/>
        <v>7.989441665209025</v>
      </c>
      <c r="H195" s="12">
        <f t="shared" si="11"/>
        <v>0.74648335515206921</v>
      </c>
    </row>
    <row r="196" spans="1:8">
      <c r="A196" s="9">
        <v>2023</v>
      </c>
      <c r="B196" s="9" t="s">
        <v>113</v>
      </c>
      <c r="C196" s="10">
        <v>123926193</v>
      </c>
      <c r="D196" s="11">
        <v>1854040239.0899999</v>
      </c>
      <c r="E196" s="11">
        <v>1415215176.8399999</v>
      </c>
      <c r="F196" s="11">
        <f t="shared" si="9"/>
        <v>14.960842370829546</v>
      </c>
      <c r="G196" s="11">
        <f t="shared" si="10"/>
        <v>11.419822900877783</v>
      </c>
      <c r="H196" s="12">
        <f t="shared" si="11"/>
        <v>0.76331416492590032</v>
      </c>
    </row>
    <row r="197" spans="1:8">
      <c r="A197" s="9">
        <v>2023</v>
      </c>
      <c r="B197" s="9" t="s">
        <v>114</v>
      </c>
      <c r="C197" s="10">
        <v>7838</v>
      </c>
      <c r="D197" s="11">
        <v>1129542.75</v>
      </c>
      <c r="E197" s="11">
        <v>878451.19</v>
      </c>
      <c r="F197" s="11">
        <f t="shared" si="9"/>
        <v>144.11109339117121</v>
      </c>
      <c r="G197" s="11">
        <f t="shared" si="10"/>
        <v>112.07593646338351</v>
      </c>
      <c r="H197" s="12">
        <f t="shared" si="11"/>
        <v>0.77770512891167687</v>
      </c>
    </row>
    <row r="198" spans="1:8">
      <c r="A198" s="9">
        <v>2023</v>
      </c>
      <c r="B198" s="9" t="s">
        <v>115</v>
      </c>
      <c r="C198" s="10">
        <v>3514</v>
      </c>
      <c r="D198" s="11">
        <v>358825.23</v>
      </c>
      <c r="E198" s="11">
        <v>351485.98</v>
      </c>
      <c r="F198" s="11">
        <f t="shared" si="9"/>
        <v>102.1130421172453</v>
      </c>
      <c r="G198" s="11">
        <f t="shared" si="10"/>
        <v>100.02446784291405</v>
      </c>
      <c r="H198" s="12">
        <f t="shared" si="11"/>
        <v>0.97954644939543412</v>
      </c>
    </row>
    <row r="199" spans="1:8">
      <c r="A199" s="9">
        <v>2023</v>
      </c>
      <c r="B199" s="9" t="s">
        <v>173</v>
      </c>
      <c r="C199" s="10">
        <v>22</v>
      </c>
      <c r="D199" s="11">
        <v>2286.9699999999998</v>
      </c>
      <c r="E199" s="11">
        <v>1787.49</v>
      </c>
      <c r="F199" s="11">
        <f t="shared" si="9"/>
        <v>103.9531818181818</v>
      </c>
      <c r="G199" s="11">
        <f t="shared" si="10"/>
        <v>81.249545454545455</v>
      </c>
      <c r="H199" s="12">
        <f t="shared" si="11"/>
        <v>0.78159748488174319</v>
      </c>
    </row>
    <row r="200" spans="1:8">
      <c r="A200" s="9">
        <v>2023</v>
      </c>
      <c r="B200" s="9" t="s">
        <v>116</v>
      </c>
      <c r="C200" s="10">
        <v>1444248</v>
      </c>
      <c r="D200" s="11">
        <v>290135473.06</v>
      </c>
      <c r="E200" s="11">
        <v>223418387.84</v>
      </c>
      <c r="F200" s="11">
        <f t="shared" si="9"/>
        <v>200.89034089713124</v>
      </c>
      <c r="G200" s="11">
        <f t="shared" si="10"/>
        <v>154.69530706637642</v>
      </c>
      <c r="H200" s="12">
        <f t="shared" si="11"/>
        <v>0.77004850693936722</v>
      </c>
    </row>
    <row r="201" spans="1:8">
      <c r="A201" s="9">
        <v>2023</v>
      </c>
      <c r="B201" s="9" t="s">
        <v>117</v>
      </c>
      <c r="C201" s="10">
        <v>19853737</v>
      </c>
      <c r="D201" s="11">
        <v>1824446375.3199999</v>
      </c>
      <c r="E201" s="11">
        <v>1373287571.9300001</v>
      </c>
      <c r="F201" s="11">
        <f t="shared" si="9"/>
        <v>91.89435597540151</v>
      </c>
      <c r="G201" s="11">
        <f t="shared" si="10"/>
        <v>69.170230870389801</v>
      </c>
      <c r="H201" s="12">
        <f t="shared" si="11"/>
        <v>0.75271468129017027</v>
      </c>
    </row>
    <row r="202" spans="1:8">
      <c r="A202" s="9">
        <v>2023</v>
      </c>
      <c r="B202" s="9" t="s">
        <v>118</v>
      </c>
      <c r="C202" s="10">
        <v>57053693</v>
      </c>
      <c r="D202" s="11">
        <v>2121582122.0599999</v>
      </c>
      <c r="E202" s="11">
        <v>1590004581.75</v>
      </c>
      <c r="F202" s="11">
        <f t="shared" si="9"/>
        <v>37.185710696413636</v>
      </c>
      <c r="G202" s="11">
        <f t="shared" si="10"/>
        <v>27.868565523882914</v>
      </c>
      <c r="H202" s="12">
        <f t="shared" si="11"/>
        <v>0.74944286399158933</v>
      </c>
    </row>
    <row r="203" spans="1:8">
      <c r="A203" s="9">
        <v>2023</v>
      </c>
      <c r="B203" s="9" t="s">
        <v>119</v>
      </c>
      <c r="C203" s="10">
        <v>198951</v>
      </c>
      <c r="D203" s="11">
        <v>11429993.189999999</v>
      </c>
      <c r="E203" s="11">
        <v>8596715.0500000007</v>
      </c>
      <c r="F203" s="11">
        <f t="shared" si="9"/>
        <v>57.451298008052234</v>
      </c>
      <c r="G203" s="11">
        <f t="shared" si="10"/>
        <v>43.21021281622108</v>
      </c>
      <c r="H203" s="12">
        <f t="shared" si="11"/>
        <v>0.75211900016888822</v>
      </c>
    </row>
    <row r="204" spans="1:8">
      <c r="A204" s="9">
        <v>2023</v>
      </c>
      <c r="B204" s="9" t="s">
        <v>120</v>
      </c>
      <c r="C204" s="10">
        <v>2672915.2000000002</v>
      </c>
      <c r="D204" s="11">
        <v>729261671.63999999</v>
      </c>
      <c r="E204" s="11">
        <v>563940711.35000002</v>
      </c>
      <c r="F204" s="11">
        <f t="shared" si="9"/>
        <v>272.83382265176238</v>
      </c>
      <c r="G204" s="11">
        <f t="shared" si="10"/>
        <v>210.98339047568737</v>
      </c>
      <c r="H204" s="12">
        <f t="shared" si="11"/>
        <v>0.77330364844457278</v>
      </c>
    </row>
    <row r="205" spans="1:8">
      <c r="A205" s="9">
        <v>2023</v>
      </c>
      <c r="B205" s="9" t="s">
        <v>121</v>
      </c>
      <c r="C205" s="10">
        <v>2192397.9</v>
      </c>
      <c r="D205" s="11">
        <v>217861277.75999999</v>
      </c>
      <c r="E205" s="11">
        <v>169690145.88999999</v>
      </c>
      <c r="F205" s="11">
        <f t="shared" si="9"/>
        <v>99.37123081535519</v>
      </c>
      <c r="G205" s="11">
        <f t="shared" si="10"/>
        <v>77.39933790759423</v>
      </c>
      <c r="H205" s="12">
        <f t="shared" si="11"/>
        <v>0.77889080443626968</v>
      </c>
    </row>
    <row r="206" spans="1:8">
      <c r="A206" s="9">
        <v>2023</v>
      </c>
      <c r="B206" s="9" t="s">
        <v>122</v>
      </c>
      <c r="C206" s="10">
        <v>182500692.80000001</v>
      </c>
      <c r="D206" s="11">
        <v>9961901715.8600006</v>
      </c>
      <c r="E206" s="11">
        <v>7477779265.9099998</v>
      </c>
      <c r="F206" s="11">
        <f t="shared" si="9"/>
        <v>54.585555610888072</v>
      </c>
      <c r="G206" s="11">
        <f t="shared" si="10"/>
        <v>40.973977419936674</v>
      </c>
      <c r="H206" s="12">
        <f t="shared" si="11"/>
        <v>0.75063772753397928</v>
      </c>
    </row>
    <row r="207" spans="1:8">
      <c r="A207" s="9">
        <v>2023</v>
      </c>
      <c r="B207" s="9" t="s">
        <v>123</v>
      </c>
      <c r="C207" s="10">
        <v>538</v>
      </c>
      <c r="D207" s="11">
        <v>5259.35</v>
      </c>
      <c r="E207" s="11">
        <v>3658.62</v>
      </c>
      <c r="F207" s="11">
        <f t="shared" si="9"/>
        <v>9.7757434944237929</v>
      </c>
      <c r="G207" s="11">
        <f t="shared" si="10"/>
        <v>6.8004089219330854</v>
      </c>
      <c r="H207" s="12">
        <f t="shared" si="11"/>
        <v>0.69564109633319704</v>
      </c>
    </row>
    <row r="208" spans="1:8">
      <c r="A208" s="9">
        <v>2023</v>
      </c>
      <c r="B208" s="9" t="s">
        <v>124</v>
      </c>
      <c r="C208" s="10">
        <v>8861236.5</v>
      </c>
      <c r="D208" s="11">
        <v>548744187.41999996</v>
      </c>
      <c r="E208" s="11">
        <v>417872534.54000002</v>
      </c>
      <c r="F208" s="11">
        <f t="shared" si="9"/>
        <v>61.926367434161129</v>
      </c>
      <c r="G208" s="11">
        <f t="shared" si="10"/>
        <v>47.157361677458901</v>
      </c>
      <c r="H208" s="12">
        <f t="shared" si="11"/>
        <v>0.7615069901782251</v>
      </c>
    </row>
    <row r="209" spans="1:8">
      <c r="A209" s="9">
        <v>2023</v>
      </c>
      <c r="B209" s="9" t="s">
        <v>125</v>
      </c>
      <c r="C209" s="10">
        <v>18212767.699999999</v>
      </c>
      <c r="D209" s="11">
        <v>525845222.79000002</v>
      </c>
      <c r="E209" s="11">
        <v>396076820.41000003</v>
      </c>
      <c r="F209" s="11">
        <f t="shared" si="9"/>
        <v>28.872340077669801</v>
      </c>
      <c r="G209" s="11">
        <f t="shared" si="10"/>
        <v>21.747206516558165</v>
      </c>
      <c r="H209" s="12">
        <f t="shared" si="11"/>
        <v>0.75321939468902632</v>
      </c>
    </row>
    <row r="210" spans="1:8">
      <c r="A210" s="9">
        <v>2023</v>
      </c>
      <c r="B210" s="9" t="s">
        <v>126</v>
      </c>
      <c r="C210" s="10">
        <v>18923</v>
      </c>
      <c r="D210" s="11">
        <v>5712763.71</v>
      </c>
      <c r="E210" s="11">
        <v>4352262.13</v>
      </c>
      <c r="F210" s="11">
        <f t="shared" si="9"/>
        <v>301.89524441156266</v>
      </c>
      <c r="G210" s="11">
        <f t="shared" si="10"/>
        <v>229.9985271891349</v>
      </c>
      <c r="H210" s="12">
        <f t="shared" si="11"/>
        <v>0.76184879174706843</v>
      </c>
    </row>
    <row r="211" spans="1:8">
      <c r="A211" s="9">
        <v>2023</v>
      </c>
      <c r="B211" s="9" t="s">
        <v>127</v>
      </c>
      <c r="C211" s="10">
        <v>93550803.099999994</v>
      </c>
      <c r="D211" s="11">
        <v>10140386263.209999</v>
      </c>
      <c r="E211" s="11">
        <v>7632288977.4399996</v>
      </c>
      <c r="F211" s="11">
        <f t="shared" si="9"/>
        <v>108.39443304800447</v>
      </c>
      <c r="G211" s="11">
        <f t="shared" si="10"/>
        <v>81.58443032585788</v>
      </c>
      <c r="H211" s="12">
        <f t="shared" si="11"/>
        <v>0.75266254946623246</v>
      </c>
    </row>
    <row r="212" spans="1:8">
      <c r="A212" s="9">
        <v>2023</v>
      </c>
      <c r="B212" s="9" t="s">
        <v>128</v>
      </c>
      <c r="C212" s="10">
        <v>1386642</v>
      </c>
      <c r="D212" s="11">
        <v>243032715.08000001</v>
      </c>
      <c r="E212" s="11">
        <v>233686906.66</v>
      </c>
      <c r="F212" s="11">
        <f t="shared" si="9"/>
        <v>175.26709495313139</v>
      </c>
      <c r="G212" s="11">
        <f t="shared" si="10"/>
        <v>168.52720937343597</v>
      </c>
      <c r="H212" s="12">
        <f t="shared" si="11"/>
        <v>0.96154506023222586</v>
      </c>
    </row>
    <row r="213" spans="1:8">
      <c r="A213" s="9">
        <v>2023</v>
      </c>
      <c r="B213" s="9" t="s">
        <v>129</v>
      </c>
      <c r="C213" s="10">
        <v>42709</v>
      </c>
      <c r="D213" s="11">
        <v>2760079.04</v>
      </c>
      <c r="E213" s="11">
        <v>2055910.37</v>
      </c>
      <c r="F213" s="11">
        <f t="shared" si="9"/>
        <v>64.625232152473714</v>
      </c>
      <c r="G213" s="11">
        <f t="shared" si="10"/>
        <v>48.137637734435366</v>
      </c>
      <c r="H213" s="12">
        <f t="shared" si="11"/>
        <v>0.74487373013781522</v>
      </c>
    </row>
    <row r="214" spans="1:8">
      <c r="A214" s="9">
        <v>2023</v>
      </c>
      <c r="B214" s="9" t="s">
        <v>130</v>
      </c>
      <c r="C214" s="10">
        <v>15811276.5</v>
      </c>
      <c r="D214" s="11">
        <v>1395992949.99</v>
      </c>
      <c r="E214" s="11">
        <v>932983593.69000006</v>
      </c>
      <c r="F214" s="11">
        <f t="shared" si="9"/>
        <v>88.290970687281316</v>
      </c>
      <c r="G214" s="11">
        <f t="shared" si="10"/>
        <v>59.007480748945227</v>
      </c>
      <c r="H214" s="12">
        <f t="shared" si="11"/>
        <v>0.66832973167714305</v>
      </c>
    </row>
    <row r="215" spans="1:8">
      <c r="A215" s="9">
        <v>2023</v>
      </c>
      <c r="B215" s="9" t="s">
        <v>174</v>
      </c>
      <c r="C215" s="10">
        <v>75</v>
      </c>
      <c r="D215" s="11">
        <v>5426.2</v>
      </c>
      <c r="E215" s="11">
        <v>4070.86</v>
      </c>
      <c r="F215" s="11">
        <f t="shared" si="9"/>
        <v>72.349333333333334</v>
      </c>
      <c r="G215" s="11">
        <f t="shared" si="10"/>
        <v>54.278133333333336</v>
      </c>
      <c r="H215" s="12">
        <f t="shared" si="11"/>
        <v>0.75022299214920207</v>
      </c>
    </row>
    <row r="216" spans="1:8">
      <c r="A216" s="9">
        <v>2023</v>
      </c>
      <c r="B216" s="9" t="s">
        <v>131</v>
      </c>
      <c r="C216" s="10">
        <v>240945</v>
      </c>
      <c r="D216" s="11">
        <v>67111814.980000004</v>
      </c>
      <c r="E216" s="11">
        <v>51621687.840000004</v>
      </c>
      <c r="F216" s="11">
        <f t="shared" si="9"/>
        <v>278.53582759550937</v>
      </c>
      <c r="G216" s="11">
        <f t="shared" si="10"/>
        <v>214.24676934570132</v>
      </c>
      <c r="H216" s="12">
        <f t="shared" si="11"/>
        <v>0.76918926802059795</v>
      </c>
    </row>
    <row r="217" spans="1:8">
      <c r="A217" s="9">
        <v>2023</v>
      </c>
      <c r="B217" s="9" t="s">
        <v>132</v>
      </c>
      <c r="C217" s="10">
        <v>49932622.299999997</v>
      </c>
      <c r="D217" s="11">
        <v>3885403900.77</v>
      </c>
      <c r="E217" s="11">
        <v>2924231988.5799999</v>
      </c>
      <c r="F217" s="11">
        <f t="shared" si="9"/>
        <v>77.812935147409632</v>
      </c>
      <c r="G217" s="11">
        <f t="shared" si="10"/>
        <v>58.563557327530944</v>
      </c>
      <c r="H217" s="12">
        <f t="shared" si="11"/>
        <v>0.75261982106943437</v>
      </c>
    </row>
    <row r="218" spans="1:8">
      <c r="A218" s="9">
        <v>2023</v>
      </c>
      <c r="B218" s="9" t="s">
        <v>133</v>
      </c>
      <c r="C218" s="10">
        <v>1278514</v>
      </c>
      <c r="D218" s="11">
        <v>70091694.969999999</v>
      </c>
      <c r="E218" s="11">
        <v>53730841.759999998</v>
      </c>
      <c r="F218" s="11">
        <f t="shared" si="9"/>
        <v>54.822782519393606</v>
      </c>
      <c r="G218" s="11">
        <f t="shared" si="10"/>
        <v>42.026009695631018</v>
      </c>
      <c r="H218" s="12">
        <f t="shared" si="11"/>
        <v>0.76657928992867663</v>
      </c>
    </row>
    <row r="219" spans="1:8">
      <c r="A219" s="9">
        <v>2023</v>
      </c>
      <c r="B219" s="9" t="s">
        <v>134</v>
      </c>
      <c r="C219" s="10">
        <v>13647561.4</v>
      </c>
      <c r="D219" s="11">
        <v>1236765686.1900001</v>
      </c>
      <c r="E219" s="11">
        <v>914183413.22000003</v>
      </c>
      <c r="F219" s="11">
        <f t="shared" si="9"/>
        <v>90.621734531269453</v>
      </c>
      <c r="G219" s="11">
        <f t="shared" si="10"/>
        <v>66.98511085064618</v>
      </c>
      <c r="H219" s="12">
        <f t="shared" si="11"/>
        <v>0.739172685196537</v>
      </c>
    </row>
    <row r="220" spans="1:8">
      <c r="A220" s="9">
        <v>2023</v>
      </c>
      <c r="B220" s="9" t="s">
        <v>135</v>
      </c>
      <c r="C220" s="10">
        <v>2892953</v>
      </c>
      <c r="D220" s="11">
        <v>106146932.11</v>
      </c>
      <c r="E220" s="11">
        <v>80522999.879999995</v>
      </c>
      <c r="F220" s="11">
        <f t="shared" si="9"/>
        <v>36.691550851327349</v>
      </c>
      <c r="G220" s="11">
        <f t="shared" si="10"/>
        <v>27.834188761448939</v>
      </c>
      <c r="H220" s="12">
        <f t="shared" si="11"/>
        <v>0.75859940819160054</v>
      </c>
    </row>
    <row r="221" spans="1:8">
      <c r="A221" s="9">
        <v>2023</v>
      </c>
      <c r="B221" s="9" t="s">
        <v>136</v>
      </c>
      <c r="C221" s="10">
        <v>9944597.0999999996</v>
      </c>
      <c r="D221" s="11">
        <v>586516787.28999996</v>
      </c>
      <c r="E221" s="11">
        <v>446374601.43000001</v>
      </c>
      <c r="F221" s="11">
        <f t="shared" si="9"/>
        <v>58.97843637023766</v>
      </c>
      <c r="G221" s="11">
        <f t="shared" si="10"/>
        <v>44.88614238881533</v>
      </c>
      <c r="H221" s="12">
        <f t="shared" si="11"/>
        <v>0.76106023067553319</v>
      </c>
    </row>
    <row r="222" spans="1:8">
      <c r="A222" s="9">
        <v>2023</v>
      </c>
      <c r="B222" s="9" t="s">
        <v>137</v>
      </c>
      <c r="C222" s="10">
        <v>32843965.300000001</v>
      </c>
      <c r="D222" s="11">
        <v>1379542619.51</v>
      </c>
      <c r="E222" s="11">
        <v>1080774544.78</v>
      </c>
      <c r="F222" s="11">
        <f t="shared" si="9"/>
        <v>42.002925253060113</v>
      </c>
      <c r="G222" s="11">
        <f t="shared" si="10"/>
        <v>32.906335605585355</v>
      </c>
      <c r="H222" s="12">
        <f t="shared" si="11"/>
        <v>0.78342961608817896</v>
      </c>
    </row>
    <row r="223" spans="1:8">
      <c r="A223" s="9">
        <v>2023</v>
      </c>
      <c r="B223" s="9" t="s">
        <v>138</v>
      </c>
      <c r="C223" s="10">
        <v>2344608.7000000002</v>
      </c>
      <c r="D223" s="11">
        <v>100798823.26000001</v>
      </c>
      <c r="E223" s="11">
        <v>76707975.969999999</v>
      </c>
      <c r="F223" s="11">
        <f t="shared" si="9"/>
        <v>42.99174666544571</v>
      </c>
      <c r="G223" s="11">
        <f t="shared" si="10"/>
        <v>32.716749694735839</v>
      </c>
      <c r="H223" s="12">
        <f t="shared" si="11"/>
        <v>0.76100070902752315</v>
      </c>
    </row>
    <row r="224" spans="1:8">
      <c r="A224" s="9">
        <v>2023</v>
      </c>
      <c r="B224" s="9" t="s">
        <v>139</v>
      </c>
      <c r="C224" s="10">
        <v>59102</v>
      </c>
      <c r="D224" s="11">
        <v>4973341.47</v>
      </c>
      <c r="E224" s="11">
        <v>3861148.45</v>
      </c>
      <c r="F224" s="11">
        <f t="shared" si="9"/>
        <v>84.14844624547392</v>
      </c>
      <c r="G224" s="11">
        <f t="shared" si="10"/>
        <v>65.330250245338576</v>
      </c>
      <c r="H224" s="12">
        <f t="shared" si="11"/>
        <v>0.7763690615838611</v>
      </c>
    </row>
    <row r="225" spans="1:8">
      <c r="A225" s="9">
        <v>2023</v>
      </c>
      <c r="B225" s="9" t="s">
        <v>140</v>
      </c>
      <c r="C225" s="10">
        <v>93333</v>
      </c>
      <c r="D225" s="11">
        <v>22133769.870000001</v>
      </c>
      <c r="E225" s="11">
        <v>17035432.75</v>
      </c>
      <c r="F225" s="11">
        <f t="shared" si="9"/>
        <v>237.14838127993315</v>
      </c>
      <c r="G225" s="11">
        <f t="shared" si="10"/>
        <v>182.52314561837721</v>
      </c>
      <c r="H225" s="12">
        <f t="shared" si="11"/>
        <v>0.76965798641874106</v>
      </c>
    </row>
    <row r="226" spans="1:8">
      <c r="A226" s="9">
        <v>2023</v>
      </c>
      <c r="B226" s="9" t="s">
        <v>141</v>
      </c>
      <c r="C226" s="10">
        <v>1930269253.9000001</v>
      </c>
      <c r="D226" s="11">
        <v>4468418471.5600004</v>
      </c>
      <c r="E226" s="11">
        <v>3526673807.5999999</v>
      </c>
      <c r="F226" s="11">
        <f t="shared" si="9"/>
        <v>2.3149197773998695</v>
      </c>
      <c r="G226" s="11">
        <f t="shared" si="10"/>
        <v>1.8270372387036444</v>
      </c>
      <c r="H226" s="12">
        <f t="shared" si="11"/>
        <v>0.78924429975529542</v>
      </c>
    </row>
    <row r="227" spans="1:8">
      <c r="A227" s="9">
        <v>2023</v>
      </c>
      <c r="B227" s="9" t="s">
        <v>142</v>
      </c>
      <c r="C227" s="10">
        <v>28195439.899999999</v>
      </c>
      <c r="D227" s="11">
        <v>1281523591.46</v>
      </c>
      <c r="E227" s="11">
        <v>978020407.00999999</v>
      </c>
      <c r="F227" s="11">
        <f t="shared" si="9"/>
        <v>45.451448745085905</v>
      </c>
      <c r="G227" s="11">
        <f t="shared" si="10"/>
        <v>34.687183831098871</v>
      </c>
      <c r="H227" s="12">
        <f t="shared" si="11"/>
        <v>0.76317003723339316</v>
      </c>
    </row>
    <row r="228" spans="1:8">
      <c r="A228" s="9">
        <v>2023</v>
      </c>
      <c r="B228" s="9" t="s">
        <v>143</v>
      </c>
      <c r="C228" s="10">
        <v>167289490.69999999</v>
      </c>
      <c r="D228" s="11">
        <v>4641430765.9300003</v>
      </c>
      <c r="E228" s="11">
        <v>3437771324.8600001</v>
      </c>
      <c r="F228" s="11">
        <f t="shared" si="9"/>
        <v>27.744903439591862</v>
      </c>
      <c r="G228" s="11">
        <f t="shared" si="10"/>
        <v>20.549834364819429</v>
      </c>
      <c r="H228" s="12">
        <f t="shared" si="11"/>
        <v>0.74067060314561783</v>
      </c>
    </row>
    <row r="229" spans="1:8">
      <c r="A229" s="9">
        <v>2023</v>
      </c>
      <c r="B229" s="9" t="s">
        <v>144</v>
      </c>
      <c r="C229" s="10">
        <v>81417351.799999997</v>
      </c>
      <c r="D229" s="11">
        <v>3943284096.9699998</v>
      </c>
      <c r="E229" s="11">
        <v>2886429331.3200002</v>
      </c>
      <c r="F229" s="11">
        <f t="shared" si="9"/>
        <v>48.432969260122753</v>
      </c>
      <c r="G229" s="11">
        <f t="shared" si="10"/>
        <v>35.452262539936854</v>
      </c>
      <c r="H229" s="12">
        <f t="shared" si="11"/>
        <v>0.73198614665829387</v>
      </c>
    </row>
    <row r="230" spans="1:8">
      <c r="A230" s="9">
        <v>2023</v>
      </c>
      <c r="B230" s="9" t="s">
        <v>145</v>
      </c>
      <c r="C230" s="10">
        <v>2058251.9</v>
      </c>
      <c r="D230" s="11">
        <v>428888238.23000002</v>
      </c>
      <c r="E230" s="11">
        <v>330555598.31999999</v>
      </c>
      <c r="F230" s="11">
        <f t="shared" si="9"/>
        <v>208.37499930402106</v>
      </c>
      <c r="G230" s="11">
        <f t="shared" si="10"/>
        <v>160.60016673372195</v>
      </c>
      <c r="H230" s="12">
        <f t="shared" si="11"/>
        <v>0.77072665756511805</v>
      </c>
    </row>
    <row r="231" spans="1:8">
      <c r="A231" s="9">
        <v>2023</v>
      </c>
      <c r="B231" s="9" t="s">
        <v>146</v>
      </c>
      <c r="C231" s="10">
        <v>33711774.700000003</v>
      </c>
      <c r="D231" s="11">
        <v>2919387417.8099999</v>
      </c>
      <c r="E231" s="11">
        <v>2180116560.4899998</v>
      </c>
      <c r="F231" s="11">
        <f t="shared" si="9"/>
        <v>86.598449467271735</v>
      </c>
      <c r="G231" s="11">
        <f t="shared" si="10"/>
        <v>64.669290771274632</v>
      </c>
      <c r="H231" s="12">
        <f t="shared" si="11"/>
        <v>0.74677192454485208</v>
      </c>
    </row>
    <row r="232" spans="1:8">
      <c r="A232" s="9">
        <v>2023</v>
      </c>
      <c r="B232" s="9" t="s">
        <v>147</v>
      </c>
      <c r="C232" s="10">
        <v>4960736</v>
      </c>
      <c r="D232" s="11">
        <v>265807176.50999999</v>
      </c>
      <c r="E232" s="11">
        <v>201998257.80000001</v>
      </c>
      <c r="F232" s="11">
        <f t="shared" si="9"/>
        <v>53.582205646500839</v>
      </c>
      <c r="G232" s="11">
        <f t="shared" si="10"/>
        <v>40.71941296614051</v>
      </c>
      <c r="H232" s="12">
        <f t="shared" si="11"/>
        <v>0.75994282943071922</v>
      </c>
    </row>
    <row r="233" spans="1:8">
      <c r="A233" s="9">
        <v>2023</v>
      </c>
      <c r="B233" s="9" t="s">
        <v>148</v>
      </c>
      <c r="C233" s="10">
        <v>332275</v>
      </c>
      <c r="D233" s="11">
        <v>18120121.98</v>
      </c>
      <c r="E233" s="11">
        <v>14024048.33</v>
      </c>
      <c r="F233" s="11">
        <f t="shared" si="9"/>
        <v>54.533509833722071</v>
      </c>
      <c r="G233" s="11">
        <f t="shared" si="10"/>
        <v>42.206149514709203</v>
      </c>
      <c r="H233" s="12">
        <f t="shared" si="11"/>
        <v>0.77394889203720474</v>
      </c>
    </row>
    <row r="234" spans="1:8">
      <c r="A234" s="9">
        <v>2023</v>
      </c>
      <c r="B234" s="9" t="s">
        <v>149</v>
      </c>
      <c r="C234" s="10">
        <v>9637063.1999999993</v>
      </c>
      <c r="D234" s="11">
        <v>900048347.46000004</v>
      </c>
      <c r="E234" s="11">
        <v>665740340.96000004</v>
      </c>
      <c r="F234" s="11">
        <f t="shared" si="9"/>
        <v>93.394463518720116</v>
      </c>
      <c r="G234" s="11">
        <f t="shared" si="10"/>
        <v>69.081246759905042</v>
      </c>
      <c r="H234" s="12">
        <f t="shared" si="11"/>
        <v>0.73967175523266748</v>
      </c>
    </row>
    <row r="235" spans="1:8">
      <c r="A235" s="9">
        <v>2023</v>
      </c>
      <c r="B235" s="9" t="s">
        <v>150</v>
      </c>
      <c r="C235" s="10">
        <v>101969</v>
      </c>
      <c r="D235" s="11">
        <v>12527114.359999999</v>
      </c>
      <c r="E235" s="11">
        <v>9537081.4399999995</v>
      </c>
      <c r="F235" s="11">
        <f t="shared" si="9"/>
        <v>122.85218409516617</v>
      </c>
      <c r="G235" s="11">
        <f t="shared" si="10"/>
        <v>93.529223979836999</v>
      </c>
      <c r="H235" s="12">
        <f t="shared" si="11"/>
        <v>0.76131510944392788</v>
      </c>
    </row>
    <row r="236" spans="1:8">
      <c r="A236" s="9">
        <v>2023</v>
      </c>
      <c r="B236" s="9" t="s">
        <v>151</v>
      </c>
      <c r="C236" s="10">
        <v>124876.2</v>
      </c>
      <c r="D236" s="11">
        <v>7705576.3899999997</v>
      </c>
      <c r="E236" s="11">
        <v>7539684.3899999997</v>
      </c>
      <c r="F236" s="11">
        <f t="shared" si="9"/>
        <v>61.705724469514607</v>
      </c>
      <c r="G236" s="11">
        <f t="shared" si="10"/>
        <v>60.377272770952352</v>
      </c>
      <c r="H236" s="12">
        <f t="shared" si="11"/>
        <v>0.97847117572991837</v>
      </c>
    </row>
    <row r="237" spans="1:8">
      <c r="A237" s="9">
        <v>2023</v>
      </c>
      <c r="B237" s="9" t="s">
        <v>152</v>
      </c>
      <c r="C237" s="10">
        <v>16628176.9</v>
      </c>
      <c r="D237" s="11">
        <v>1418487266.78</v>
      </c>
      <c r="E237" s="11">
        <v>1077610985.6900001</v>
      </c>
      <c r="F237" s="11">
        <f t="shared" si="9"/>
        <v>85.306241045583292</v>
      </c>
      <c r="G237" s="11">
        <f t="shared" si="10"/>
        <v>64.806321954032143</v>
      </c>
      <c r="H237" s="12">
        <f t="shared" si="11"/>
        <v>0.75969027775356968</v>
      </c>
    </row>
    <row r="238" spans="1:8">
      <c r="A238" s="9">
        <v>2023</v>
      </c>
      <c r="B238" s="9" t="s">
        <v>153</v>
      </c>
      <c r="C238" s="10">
        <v>14580859.699999999</v>
      </c>
      <c r="D238" s="11">
        <v>1872520349.5999999</v>
      </c>
      <c r="E238" s="11">
        <v>1458489214.5899999</v>
      </c>
      <c r="F238" s="11">
        <f t="shared" si="9"/>
        <v>128.42317861408407</v>
      </c>
      <c r="G238" s="11">
        <f t="shared" si="10"/>
        <v>100.02765574858388</v>
      </c>
      <c r="H238" s="12">
        <f t="shared" si="11"/>
        <v>0.77889098236051557</v>
      </c>
    </row>
    <row r="239" spans="1:8">
      <c r="A239" s="9">
        <v>2023</v>
      </c>
      <c r="B239" s="9" t="s">
        <v>154</v>
      </c>
      <c r="C239" s="10">
        <v>140544</v>
      </c>
      <c r="D239" s="11">
        <v>34794463.329999998</v>
      </c>
      <c r="E239" s="11">
        <v>27111071.52</v>
      </c>
      <c r="F239" s="11">
        <f t="shared" si="9"/>
        <v>247.56989505066028</v>
      </c>
      <c r="G239" s="11">
        <f t="shared" si="10"/>
        <v>192.90095286885244</v>
      </c>
      <c r="H239" s="12">
        <f t="shared" si="11"/>
        <v>0.7791777462658741</v>
      </c>
    </row>
    <row r="240" spans="1:8">
      <c r="A240" s="9">
        <v>2023</v>
      </c>
      <c r="B240" s="9" t="s">
        <v>155</v>
      </c>
      <c r="C240" s="10">
        <v>524836</v>
      </c>
      <c r="D240" s="11">
        <v>16569849.18</v>
      </c>
      <c r="E240" s="11">
        <v>15195488.75</v>
      </c>
      <c r="F240" s="11">
        <f t="shared" si="9"/>
        <v>31.57147981464686</v>
      </c>
      <c r="G240" s="11">
        <f t="shared" si="10"/>
        <v>28.95283240860002</v>
      </c>
      <c r="H240" s="12">
        <f t="shared" si="11"/>
        <v>0.91705655162758704</v>
      </c>
    </row>
    <row r="241" spans="1:8">
      <c r="A241" s="9">
        <v>2023</v>
      </c>
      <c r="B241" s="9" t="s">
        <v>156</v>
      </c>
      <c r="C241" s="10">
        <v>98</v>
      </c>
      <c r="D241" s="11">
        <v>22636.86</v>
      </c>
      <c r="E241" s="11">
        <v>17517.46</v>
      </c>
      <c r="F241" s="11">
        <f t="shared" si="9"/>
        <v>230.98836734693879</v>
      </c>
      <c r="G241" s="11">
        <f t="shared" si="10"/>
        <v>178.74959183673468</v>
      </c>
      <c r="H241" s="12">
        <f t="shared" si="11"/>
        <v>0.77384672609186955</v>
      </c>
    </row>
    <row r="242" spans="1:8">
      <c r="A242" s="9">
        <v>2023</v>
      </c>
      <c r="B242" s="9" t="s">
        <v>157</v>
      </c>
      <c r="C242" s="10">
        <v>191213788.80000001</v>
      </c>
      <c r="D242" s="11">
        <v>3181229772.6100001</v>
      </c>
      <c r="E242" s="11">
        <v>2441377306.1799998</v>
      </c>
      <c r="F242" s="11">
        <f t="shared" si="9"/>
        <v>16.637031212939387</v>
      </c>
      <c r="G242" s="11">
        <f t="shared" si="10"/>
        <v>12.767788983740903</v>
      </c>
      <c r="H242" s="12">
        <f t="shared" si="11"/>
        <v>0.76743193063260007</v>
      </c>
    </row>
    <row r="243" spans="1:8">
      <c r="A243" s="9">
        <v>2023</v>
      </c>
      <c r="B243" s="9" t="s">
        <v>158</v>
      </c>
      <c r="C243" s="10">
        <v>534275.19999999995</v>
      </c>
      <c r="D243" s="11">
        <v>26360462.760000002</v>
      </c>
      <c r="E243" s="11">
        <v>20274486.59</v>
      </c>
      <c r="F243" s="11">
        <f t="shared" si="9"/>
        <v>49.338735468163229</v>
      </c>
      <c r="G243" s="11">
        <f t="shared" si="10"/>
        <v>37.947646811980043</v>
      </c>
      <c r="H243" s="12">
        <f t="shared" si="11"/>
        <v>0.76912483572803558</v>
      </c>
    </row>
    <row r="244" spans="1:8">
      <c r="A244" s="9">
        <v>2023</v>
      </c>
      <c r="B244" s="9" t="s">
        <v>159</v>
      </c>
      <c r="C244" s="10">
        <v>134787</v>
      </c>
      <c r="D244" s="11">
        <v>189077.09</v>
      </c>
      <c r="E244" s="11">
        <v>146604.23000000001</v>
      </c>
      <c r="F244" s="11">
        <f t="shared" si="9"/>
        <v>1.4027843189625111</v>
      </c>
      <c r="G244" s="11">
        <f t="shared" si="10"/>
        <v>1.0876733661258133</v>
      </c>
      <c r="H244" s="12">
        <f t="shared" si="11"/>
        <v>0.77536749692942708</v>
      </c>
    </row>
    <row r="245" spans="1:8">
      <c r="A245" s="9">
        <v>2023</v>
      </c>
      <c r="B245" s="9" t="s">
        <v>160</v>
      </c>
      <c r="C245" s="10">
        <v>670096</v>
      </c>
      <c r="D245" s="11">
        <v>70486384.409999996</v>
      </c>
      <c r="E245" s="11">
        <v>52047925.75</v>
      </c>
      <c r="F245" s="11">
        <f t="shared" si="9"/>
        <v>105.18848703767817</v>
      </c>
      <c r="G245" s="11">
        <f t="shared" si="10"/>
        <v>77.672342097251743</v>
      </c>
      <c r="H245" s="12">
        <f t="shared" si="11"/>
        <v>0.73841105889687109</v>
      </c>
    </row>
    <row r="246" spans="1:8">
      <c r="A246" s="9">
        <v>2023</v>
      </c>
      <c r="B246" s="9" t="s">
        <v>161</v>
      </c>
      <c r="C246" s="10">
        <v>46855</v>
      </c>
      <c r="D246" s="11">
        <v>2050841.65</v>
      </c>
      <c r="E246" s="11">
        <v>1552298.52</v>
      </c>
      <c r="F246" s="11">
        <f t="shared" si="9"/>
        <v>43.769963717852946</v>
      </c>
      <c r="G246" s="11">
        <f t="shared" si="10"/>
        <v>33.129837157187069</v>
      </c>
      <c r="H246" s="12">
        <f t="shared" si="11"/>
        <v>0.75690803334328616</v>
      </c>
    </row>
    <row r="247" spans="1:8">
      <c r="A247" s="9">
        <v>2023</v>
      </c>
      <c r="B247" s="9" t="s">
        <v>162</v>
      </c>
      <c r="C247" s="10"/>
      <c r="D247" s="11"/>
      <c r="E247" s="11"/>
      <c r="F247" s="11">
        <f t="shared" si="9"/>
        <v>0</v>
      </c>
      <c r="G247" s="11">
        <f t="shared" si="10"/>
        <v>0</v>
      </c>
      <c r="H247" s="12">
        <f t="shared" si="11"/>
        <v>0</v>
      </c>
    </row>
    <row r="248" spans="1:8">
      <c r="A248" s="9">
        <v>2023</v>
      </c>
      <c r="B248" s="9" t="s">
        <v>163</v>
      </c>
      <c r="C248" s="10">
        <v>1770960</v>
      </c>
      <c r="D248" s="11">
        <v>107379722.31999999</v>
      </c>
      <c r="E248" s="11">
        <v>82855134.480000004</v>
      </c>
      <c r="F248" s="11">
        <f t="shared" si="9"/>
        <v>60.633623752089257</v>
      </c>
      <c r="G248" s="11">
        <f t="shared" si="10"/>
        <v>46.7854352893346</v>
      </c>
      <c r="H248" s="12">
        <f t="shared" si="11"/>
        <v>0.77160876085230701</v>
      </c>
    </row>
    <row r="249" spans="1:8">
      <c r="A249" s="9">
        <v>2023</v>
      </c>
      <c r="B249" s="9" t="s">
        <v>164</v>
      </c>
      <c r="C249" s="10">
        <v>5205668.5</v>
      </c>
      <c r="D249" s="11">
        <v>207360112.69</v>
      </c>
      <c r="E249" s="11">
        <v>153544923.53999999</v>
      </c>
      <c r="F249" s="11">
        <f t="shared" si="9"/>
        <v>39.833522378537936</v>
      </c>
      <c r="G249" s="11">
        <f t="shared" si="10"/>
        <v>29.495716744160713</v>
      </c>
      <c r="H249" s="12">
        <f t="shared" si="11"/>
        <v>0.74047473040076495</v>
      </c>
    </row>
    <row r="250" spans="1:8">
      <c r="A250" s="9">
        <v>2023</v>
      </c>
      <c r="B250" s="9" t="s">
        <v>165</v>
      </c>
      <c r="C250" s="10">
        <v>563367</v>
      </c>
      <c r="D250" s="11">
        <v>94844507.609999999</v>
      </c>
      <c r="E250" s="11">
        <v>72890807.620000005</v>
      </c>
      <c r="F250" s="11">
        <f t="shared" si="9"/>
        <v>168.35296992901607</v>
      </c>
      <c r="G250" s="11">
        <f t="shared" si="10"/>
        <v>129.38423375881086</v>
      </c>
      <c r="H250" s="12">
        <f t="shared" si="11"/>
        <v>0.76852955913616561</v>
      </c>
    </row>
    <row r="251" spans="1:8">
      <c r="A251" s="9">
        <v>2023</v>
      </c>
      <c r="B251" s="9" t="s">
        <v>166</v>
      </c>
      <c r="C251" s="10">
        <v>890319.1</v>
      </c>
      <c r="D251" s="11">
        <v>314423509.92000002</v>
      </c>
      <c r="E251" s="11">
        <v>244956604.5</v>
      </c>
      <c r="F251" s="11">
        <f t="shared" si="9"/>
        <v>353.15822149609056</v>
      </c>
      <c r="G251" s="11">
        <f t="shared" si="10"/>
        <v>275.1334937102888</v>
      </c>
      <c r="H251" s="12">
        <f t="shared" si="11"/>
        <v>0.7790658038335786</v>
      </c>
    </row>
    <row r="252" spans="1:8">
      <c r="A252" s="9">
        <v>2023</v>
      </c>
      <c r="B252" s="9" t="s">
        <v>167</v>
      </c>
      <c r="C252" s="10">
        <v>260826</v>
      </c>
      <c r="D252" s="11">
        <v>28470636.050000001</v>
      </c>
      <c r="E252" s="11">
        <v>22138806.940000001</v>
      </c>
      <c r="F252" s="11">
        <f t="shared" si="9"/>
        <v>109.15566718808708</v>
      </c>
      <c r="G252" s="11">
        <f t="shared" si="10"/>
        <v>84.879601496783295</v>
      </c>
      <c r="H252" s="12">
        <f t="shared" si="11"/>
        <v>0.77760141716257869</v>
      </c>
    </row>
    <row r="253" spans="1:8">
      <c r="A253" s="9">
        <v>2023</v>
      </c>
      <c r="B253" s="9" t="s">
        <v>168</v>
      </c>
      <c r="C253" s="10">
        <v>694917</v>
      </c>
      <c r="D253" s="11">
        <v>57410266.030000001</v>
      </c>
      <c r="E253" s="11">
        <v>44163177.359999999</v>
      </c>
      <c r="F253" s="11">
        <f t="shared" si="9"/>
        <v>82.614565523652473</v>
      </c>
      <c r="G253" s="11">
        <f t="shared" si="10"/>
        <v>63.55172971736193</v>
      </c>
      <c r="H253" s="12">
        <f t="shared" si="11"/>
        <v>0.76925575187062056</v>
      </c>
    </row>
    <row r="254" spans="1:8">
      <c r="A254" s="9">
        <v>2023</v>
      </c>
      <c r="B254" s="9" t="s">
        <v>169</v>
      </c>
      <c r="C254" s="10">
        <v>8120</v>
      </c>
      <c r="D254" s="11">
        <v>394096.03</v>
      </c>
      <c r="E254" s="11">
        <v>285154.84999999998</v>
      </c>
      <c r="F254" s="11">
        <f t="shared" si="9"/>
        <v>48.533993842364538</v>
      </c>
      <c r="G254" s="11">
        <f t="shared" si="10"/>
        <v>35.117592364532015</v>
      </c>
      <c r="H254" s="12">
        <f t="shared" si="11"/>
        <v>0.72356691844878507</v>
      </c>
    </row>
    <row r="255" spans="1:8">
      <c r="A255" s="9">
        <v>2023</v>
      </c>
      <c r="B255" s="9" t="s">
        <v>170</v>
      </c>
      <c r="C255" s="10">
        <v>63818131.5</v>
      </c>
      <c r="D255" s="11">
        <v>2112581593.79</v>
      </c>
      <c r="E255" s="11">
        <v>1588788043.2</v>
      </c>
      <c r="F255" s="11">
        <f t="shared" si="9"/>
        <v>33.103156487588485</v>
      </c>
      <c r="G255" s="11">
        <f t="shared" si="10"/>
        <v>24.895558767652105</v>
      </c>
      <c r="H255" s="12">
        <f t="shared" si="11"/>
        <v>0.75205996675834552</v>
      </c>
    </row>
    <row r="256" spans="1:8">
      <c r="A256" s="9">
        <v>2023</v>
      </c>
      <c r="B256" s="9" t="s">
        <v>171</v>
      </c>
      <c r="C256" s="10">
        <v>6690222.2000000002</v>
      </c>
      <c r="D256" s="11">
        <v>1084093000.6600001</v>
      </c>
      <c r="E256" s="11">
        <v>835555850.5</v>
      </c>
      <c r="F256" s="11">
        <f t="shared" si="9"/>
        <v>162.04140434378996</v>
      </c>
      <c r="G256" s="11">
        <f t="shared" si="10"/>
        <v>124.89209259746261</v>
      </c>
      <c r="H256" s="12">
        <f t="shared" si="11"/>
        <v>0.77074185516492622</v>
      </c>
    </row>
    <row r="257" spans="1:8">
      <c r="A257" s="9">
        <v>2024</v>
      </c>
      <c r="B257" s="9" t="s">
        <v>46</v>
      </c>
      <c r="C257" s="10">
        <v>131395</v>
      </c>
      <c r="D257" s="11">
        <v>9156408.1999999993</v>
      </c>
      <c r="E257" s="11">
        <v>6860921.1100000003</v>
      </c>
      <c r="F257" s="11">
        <f t="shared" si="9"/>
        <v>69.686123520681903</v>
      </c>
      <c r="G257" s="11">
        <f t="shared" si="10"/>
        <v>52.215998401765674</v>
      </c>
      <c r="H257" s="12">
        <f t="shared" si="11"/>
        <v>0.74930266979578308</v>
      </c>
    </row>
    <row r="258" spans="1:8">
      <c r="A258" s="9">
        <v>2024</v>
      </c>
      <c r="B258" s="9" t="s">
        <v>47</v>
      </c>
      <c r="C258" s="10">
        <v>36323</v>
      </c>
      <c r="D258" s="11">
        <v>3024968.83</v>
      </c>
      <c r="E258" s="11">
        <v>2284154.7000000002</v>
      </c>
      <c r="F258" s="11">
        <f t="shared" ref="F258:F321" si="12">IFERROR(D258/C258,0)</f>
        <v>83.27970789857666</v>
      </c>
      <c r="G258" s="11">
        <f t="shared" ref="G258:G321" si="13">IFERROR(E258/C258,0)</f>
        <v>62.884527709715613</v>
      </c>
      <c r="H258" s="12">
        <f t="shared" ref="H258:H321" si="14">IFERROR(E258/D258,0)</f>
        <v>0.75510024346267401</v>
      </c>
    </row>
    <row r="259" spans="1:8">
      <c r="A259" s="9">
        <v>2024</v>
      </c>
      <c r="B259" s="9" t="s">
        <v>48</v>
      </c>
      <c r="C259" s="10">
        <v>1172159</v>
      </c>
      <c r="D259" s="11">
        <v>91031318.530000001</v>
      </c>
      <c r="E259" s="11">
        <v>68811603.219999999</v>
      </c>
      <c r="F259" s="11">
        <f t="shared" si="12"/>
        <v>77.661237536887057</v>
      </c>
      <c r="G259" s="11">
        <f t="shared" si="13"/>
        <v>58.705007784780051</v>
      </c>
      <c r="H259" s="12">
        <f t="shared" si="14"/>
        <v>0.75591130976887544</v>
      </c>
    </row>
    <row r="260" spans="1:8">
      <c r="A260" s="9">
        <v>2024</v>
      </c>
      <c r="B260" s="9" t="s">
        <v>49</v>
      </c>
      <c r="C260" s="10">
        <v>6340283.5999999996</v>
      </c>
      <c r="D260" s="11">
        <v>99356843.510000005</v>
      </c>
      <c r="E260" s="11">
        <v>77728356.200000003</v>
      </c>
      <c r="F260" s="11">
        <f t="shared" si="12"/>
        <v>15.670725440420364</v>
      </c>
      <c r="G260" s="11">
        <f t="shared" si="13"/>
        <v>12.259444703703791</v>
      </c>
      <c r="H260" s="12">
        <f t="shared" si="14"/>
        <v>0.78231507215883778</v>
      </c>
    </row>
    <row r="261" spans="1:8">
      <c r="A261" s="9">
        <v>2024</v>
      </c>
      <c r="B261" s="9" t="s">
        <v>50</v>
      </c>
      <c r="C261" s="10">
        <v>25557978.100000001</v>
      </c>
      <c r="D261" s="11">
        <v>609626955.88</v>
      </c>
      <c r="E261" s="11">
        <v>461897794.63</v>
      </c>
      <c r="F261" s="11">
        <f t="shared" si="12"/>
        <v>23.852706716264066</v>
      </c>
      <c r="G261" s="11">
        <f t="shared" si="13"/>
        <v>18.072548337851497</v>
      </c>
      <c r="H261" s="12">
        <f t="shared" si="14"/>
        <v>0.75767285251231697</v>
      </c>
    </row>
    <row r="262" spans="1:8">
      <c r="A262" s="9">
        <v>2024</v>
      </c>
      <c r="B262" s="9" t="s">
        <v>51</v>
      </c>
      <c r="C262" s="10">
        <v>115769629.7</v>
      </c>
      <c r="D262" s="11">
        <v>5745448928.2200003</v>
      </c>
      <c r="E262" s="11">
        <v>4467908176.3400002</v>
      </c>
      <c r="F262" s="11">
        <f t="shared" si="12"/>
        <v>49.628291488091371</v>
      </c>
      <c r="G262" s="11">
        <f t="shared" si="13"/>
        <v>38.593093783904536</v>
      </c>
      <c r="H262" s="12">
        <f t="shared" si="14"/>
        <v>0.77764300617048643</v>
      </c>
    </row>
    <row r="263" spans="1:8">
      <c r="A263" s="9">
        <v>2024</v>
      </c>
      <c r="B263" s="9" t="s">
        <v>52</v>
      </c>
      <c r="C263" s="10">
        <v>49956849.100000001</v>
      </c>
      <c r="D263" s="11">
        <v>7707600311.1099997</v>
      </c>
      <c r="E263" s="11">
        <v>6011645667.21</v>
      </c>
      <c r="F263" s="11">
        <f t="shared" si="12"/>
        <v>154.28515708990139</v>
      </c>
      <c r="G263" s="11">
        <f t="shared" si="13"/>
        <v>120.33676613944013</v>
      </c>
      <c r="H263" s="12">
        <f t="shared" si="14"/>
        <v>0.77996333807613349</v>
      </c>
    </row>
    <row r="264" spans="1:8">
      <c r="A264" s="9">
        <v>2024</v>
      </c>
      <c r="B264" s="9" t="s">
        <v>53</v>
      </c>
      <c r="C264" s="10">
        <v>379362</v>
      </c>
      <c r="D264" s="11">
        <v>44955873</v>
      </c>
      <c r="E264" s="11">
        <v>34832601.899999999</v>
      </c>
      <c r="F264" s="11">
        <f t="shared" si="12"/>
        <v>118.50389074287884</v>
      </c>
      <c r="G264" s="11">
        <f t="shared" si="13"/>
        <v>91.818900944216864</v>
      </c>
      <c r="H264" s="12">
        <f t="shared" si="14"/>
        <v>0.77481760614458539</v>
      </c>
    </row>
    <row r="265" spans="1:8">
      <c r="A265" s="9">
        <v>2024</v>
      </c>
      <c r="B265" s="9" t="s">
        <v>54</v>
      </c>
      <c r="C265" s="10">
        <v>20610232.399999999</v>
      </c>
      <c r="D265" s="11">
        <v>1757079597.48</v>
      </c>
      <c r="E265" s="11">
        <v>1361362733.4100001</v>
      </c>
      <c r="F265" s="11">
        <f t="shared" si="12"/>
        <v>85.252779463078738</v>
      </c>
      <c r="G265" s="11">
        <f t="shared" si="13"/>
        <v>66.052759958689265</v>
      </c>
      <c r="H265" s="12">
        <f t="shared" si="14"/>
        <v>0.77478717262579555</v>
      </c>
    </row>
    <row r="266" spans="1:8">
      <c r="A266" s="9">
        <v>2024</v>
      </c>
      <c r="B266" s="9" t="s">
        <v>55</v>
      </c>
      <c r="C266" s="10">
        <v>2435484</v>
      </c>
      <c r="D266" s="11">
        <v>79169986.340000004</v>
      </c>
      <c r="E266" s="11">
        <v>55644046.600000001</v>
      </c>
      <c r="F266" s="11">
        <f t="shared" si="12"/>
        <v>32.506880086258008</v>
      </c>
      <c r="G266" s="11">
        <f t="shared" si="13"/>
        <v>22.847223221339167</v>
      </c>
      <c r="H266" s="12">
        <f t="shared" si="14"/>
        <v>0.70284269547595324</v>
      </c>
    </row>
    <row r="267" spans="1:8">
      <c r="A267" s="9">
        <v>2024</v>
      </c>
      <c r="B267" s="9" t="s">
        <v>56</v>
      </c>
      <c r="C267" s="10">
        <v>9482198</v>
      </c>
      <c r="D267" s="11">
        <v>779260454.50999999</v>
      </c>
      <c r="E267" s="11">
        <v>587473697.79999995</v>
      </c>
      <c r="F267" s="11">
        <f t="shared" si="12"/>
        <v>82.181415586344002</v>
      </c>
      <c r="G267" s="11">
        <f t="shared" si="13"/>
        <v>61.955434573291967</v>
      </c>
      <c r="H267" s="12">
        <f t="shared" si="14"/>
        <v>0.75388619350561581</v>
      </c>
    </row>
    <row r="268" spans="1:8">
      <c r="A268" s="9">
        <v>2024</v>
      </c>
      <c r="B268" s="9" t="s">
        <v>57</v>
      </c>
      <c r="C268" s="10">
        <v>492615</v>
      </c>
      <c r="D268" s="11">
        <v>163231856.19999999</v>
      </c>
      <c r="E268" s="11">
        <v>127134337.69</v>
      </c>
      <c r="F268" s="11">
        <f t="shared" si="12"/>
        <v>331.35786811201444</v>
      </c>
      <c r="G268" s="11">
        <f t="shared" si="13"/>
        <v>258.08052473026601</v>
      </c>
      <c r="H268" s="12">
        <f t="shared" si="14"/>
        <v>0.77885739125718534</v>
      </c>
    </row>
    <row r="269" spans="1:8">
      <c r="A269" s="9">
        <v>2024</v>
      </c>
      <c r="B269" s="9" t="s">
        <v>58</v>
      </c>
      <c r="C269" s="10">
        <v>63181380</v>
      </c>
      <c r="D269" s="11">
        <v>4942820740.8900003</v>
      </c>
      <c r="E269" s="11">
        <v>3680131919.3299999</v>
      </c>
      <c r="F269" s="11">
        <f t="shared" si="12"/>
        <v>78.232237739821457</v>
      </c>
      <c r="G269" s="11">
        <f t="shared" si="13"/>
        <v>58.247096206667216</v>
      </c>
      <c r="H269" s="12">
        <f t="shared" si="14"/>
        <v>0.74454084261760189</v>
      </c>
    </row>
    <row r="270" spans="1:8">
      <c r="A270" s="9">
        <v>2024</v>
      </c>
      <c r="B270" s="9" t="s">
        <v>59</v>
      </c>
      <c r="C270" s="10">
        <v>11382879</v>
      </c>
      <c r="D270" s="11">
        <v>917321531.90999997</v>
      </c>
      <c r="E270" s="11">
        <v>898972670.91999996</v>
      </c>
      <c r="F270" s="11">
        <f t="shared" si="12"/>
        <v>80.587831242869228</v>
      </c>
      <c r="G270" s="11">
        <f t="shared" si="13"/>
        <v>78.975861108600029</v>
      </c>
      <c r="H270" s="12">
        <f t="shared" si="14"/>
        <v>0.9799973505998546</v>
      </c>
    </row>
    <row r="271" spans="1:8">
      <c r="A271" s="9">
        <v>2024</v>
      </c>
      <c r="B271" s="9" t="s">
        <v>60</v>
      </c>
      <c r="C271" s="10">
        <v>1216045.3999999999</v>
      </c>
      <c r="D271" s="11">
        <v>63833582.280000001</v>
      </c>
      <c r="E271" s="11">
        <v>47306091.950000003</v>
      </c>
      <c r="F271" s="11">
        <f t="shared" si="12"/>
        <v>52.492762424823944</v>
      </c>
      <c r="G271" s="11">
        <f t="shared" si="13"/>
        <v>38.901583731988957</v>
      </c>
      <c r="H271" s="12">
        <f t="shared" si="14"/>
        <v>0.74108471215819105</v>
      </c>
    </row>
    <row r="272" spans="1:8">
      <c r="A272" s="9">
        <v>2024</v>
      </c>
      <c r="B272" s="9" t="s">
        <v>61</v>
      </c>
      <c r="C272" s="10">
        <v>100287</v>
      </c>
      <c r="D272" s="11">
        <v>6144462.6299999999</v>
      </c>
      <c r="E272" s="11">
        <v>4582801.24</v>
      </c>
      <c r="F272" s="11">
        <f t="shared" si="12"/>
        <v>61.268784887373236</v>
      </c>
      <c r="G272" s="11">
        <f t="shared" si="13"/>
        <v>45.696862404897942</v>
      </c>
      <c r="H272" s="12">
        <f t="shared" si="14"/>
        <v>0.74584247898664502</v>
      </c>
    </row>
    <row r="273" spans="1:8">
      <c r="A273" s="9">
        <v>2024</v>
      </c>
      <c r="B273" s="9" t="s">
        <v>62</v>
      </c>
      <c r="C273" s="10">
        <v>7512008.2000000002</v>
      </c>
      <c r="D273" s="11">
        <v>1029128838.27</v>
      </c>
      <c r="E273" s="11">
        <v>804035435.70000005</v>
      </c>
      <c r="F273" s="11">
        <f t="shared" si="12"/>
        <v>136.99783212031105</v>
      </c>
      <c r="G273" s="11">
        <f t="shared" si="13"/>
        <v>107.03335436987409</v>
      </c>
      <c r="H273" s="12">
        <f t="shared" si="14"/>
        <v>0.78127772325534139</v>
      </c>
    </row>
    <row r="274" spans="1:8">
      <c r="A274" s="9">
        <v>2024</v>
      </c>
      <c r="B274" s="9" t="s">
        <v>63</v>
      </c>
      <c r="C274" s="10">
        <v>17546810.100000001</v>
      </c>
      <c r="D274" s="11">
        <v>648527217.37</v>
      </c>
      <c r="E274" s="11">
        <v>451953996.67000002</v>
      </c>
      <c r="F274" s="11">
        <f t="shared" si="12"/>
        <v>36.959835643858703</v>
      </c>
      <c r="G274" s="11">
        <f t="shared" si="13"/>
        <v>25.757046100932044</v>
      </c>
      <c r="H274" s="12">
        <f t="shared" si="14"/>
        <v>0.69689287444685555</v>
      </c>
    </row>
    <row r="275" spans="1:8">
      <c r="A275" s="9">
        <v>2024</v>
      </c>
      <c r="B275" s="9" t="s">
        <v>64</v>
      </c>
      <c r="C275" s="10">
        <v>304891041.39999998</v>
      </c>
      <c r="D275" s="11">
        <v>7208301471.1800003</v>
      </c>
      <c r="E275" s="11">
        <v>6898850380.6000004</v>
      </c>
      <c r="F275" s="11">
        <f t="shared" si="12"/>
        <v>23.642221293485342</v>
      </c>
      <c r="G275" s="11">
        <f t="shared" si="13"/>
        <v>22.627264969550531</v>
      </c>
      <c r="H275" s="12">
        <f t="shared" si="14"/>
        <v>0.95707017917920922</v>
      </c>
    </row>
    <row r="276" spans="1:8">
      <c r="A276" s="9">
        <v>2024</v>
      </c>
      <c r="B276" s="9" t="s">
        <v>65</v>
      </c>
      <c r="C276" s="10">
        <v>6908917.5</v>
      </c>
      <c r="D276" s="11">
        <v>725070153.63999999</v>
      </c>
      <c r="E276" s="11">
        <v>551264087.03999996</v>
      </c>
      <c r="F276" s="11">
        <f t="shared" si="12"/>
        <v>104.94699837420261</v>
      </c>
      <c r="G276" s="11">
        <f t="shared" si="13"/>
        <v>79.7902257538898</v>
      </c>
      <c r="H276" s="12">
        <f t="shared" si="14"/>
        <v>0.76029068949058498</v>
      </c>
    </row>
    <row r="277" spans="1:8">
      <c r="A277" s="9">
        <v>2024</v>
      </c>
      <c r="B277" s="9" t="s">
        <v>66</v>
      </c>
      <c r="C277" s="10">
        <v>784269</v>
      </c>
      <c r="D277" s="11">
        <v>160038977.02000001</v>
      </c>
      <c r="E277" s="11">
        <v>122967885.86</v>
      </c>
      <c r="F277" s="11">
        <f t="shared" si="12"/>
        <v>204.0613322979743</v>
      </c>
      <c r="G277" s="11">
        <f t="shared" si="13"/>
        <v>156.79299559207362</v>
      </c>
      <c r="H277" s="12">
        <f t="shared" si="14"/>
        <v>0.76836210871700805</v>
      </c>
    </row>
    <row r="278" spans="1:8">
      <c r="A278" s="9">
        <v>2024</v>
      </c>
      <c r="B278" s="9" t="s">
        <v>67</v>
      </c>
      <c r="C278" s="10">
        <v>2945906.5</v>
      </c>
      <c r="D278" s="11">
        <v>356967291.11000001</v>
      </c>
      <c r="E278" s="11">
        <v>275695221.05000001</v>
      </c>
      <c r="F278" s="11">
        <f t="shared" si="12"/>
        <v>121.17400572964553</v>
      </c>
      <c r="G278" s="11">
        <f t="shared" si="13"/>
        <v>93.585869425930525</v>
      </c>
      <c r="H278" s="12">
        <f t="shared" si="14"/>
        <v>0.77232628287235461</v>
      </c>
    </row>
    <row r="279" spans="1:8">
      <c r="A279" s="9">
        <v>2024</v>
      </c>
      <c r="B279" s="9" t="s">
        <v>172</v>
      </c>
      <c r="C279" s="10">
        <v>161</v>
      </c>
      <c r="D279" s="11">
        <v>15630.04</v>
      </c>
      <c r="E279" s="11">
        <v>12359.12</v>
      </c>
      <c r="F279" s="11">
        <f t="shared" si="12"/>
        <v>97.080993788819882</v>
      </c>
      <c r="G279" s="11">
        <f t="shared" si="13"/>
        <v>76.764720496894412</v>
      </c>
      <c r="H279" s="12">
        <f t="shared" si="14"/>
        <v>0.79072862257550203</v>
      </c>
    </row>
    <row r="280" spans="1:8">
      <c r="A280" s="9">
        <v>2024</v>
      </c>
      <c r="B280" s="9" t="s">
        <v>68</v>
      </c>
      <c r="C280" s="10">
        <v>50842</v>
      </c>
      <c r="D280" s="11">
        <v>6506576.1100000003</v>
      </c>
      <c r="E280" s="11">
        <v>4926362.45</v>
      </c>
      <c r="F280" s="11">
        <f t="shared" si="12"/>
        <v>127.97639963022698</v>
      </c>
      <c r="G280" s="11">
        <f t="shared" si="13"/>
        <v>96.895528303371236</v>
      </c>
      <c r="H280" s="12">
        <f t="shared" si="14"/>
        <v>0.75713591399148328</v>
      </c>
    </row>
    <row r="281" spans="1:8">
      <c r="A281" s="9">
        <v>2024</v>
      </c>
      <c r="B281" s="9" t="s">
        <v>69</v>
      </c>
      <c r="C281" s="10">
        <v>9325</v>
      </c>
      <c r="D281" s="11">
        <v>933033.81</v>
      </c>
      <c r="E281" s="11">
        <v>709619.34</v>
      </c>
      <c r="F281" s="11">
        <f t="shared" si="12"/>
        <v>100.05724504021448</v>
      </c>
      <c r="G281" s="11">
        <f t="shared" si="13"/>
        <v>76.098588739946379</v>
      </c>
      <c r="H281" s="12">
        <f t="shared" si="14"/>
        <v>0.76055050995418905</v>
      </c>
    </row>
    <row r="282" spans="1:8">
      <c r="A282" s="9">
        <v>2024</v>
      </c>
      <c r="B282" s="9" t="s">
        <v>70</v>
      </c>
      <c r="C282" s="10">
        <v>52945670.399999999</v>
      </c>
      <c r="D282" s="11">
        <v>4409047851.5900002</v>
      </c>
      <c r="E282" s="11">
        <v>3271782000.4899998</v>
      </c>
      <c r="F282" s="11">
        <f t="shared" si="12"/>
        <v>83.274946152915277</v>
      </c>
      <c r="G282" s="11">
        <f t="shared" si="13"/>
        <v>61.79508117985791</v>
      </c>
      <c r="H282" s="12">
        <f t="shared" si="14"/>
        <v>0.74206089627948191</v>
      </c>
    </row>
    <row r="283" spans="1:8">
      <c r="A283" s="9">
        <v>2024</v>
      </c>
      <c r="B283" s="9" t="s">
        <v>71</v>
      </c>
      <c r="C283" s="10">
        <v>218068704</v>
      </c>
      <c r="D283" s="11">
        <v>5291213005.9499998</v>
      </c>
      <c r="E283" s="11">
        <v>4094138607.5300002</v>
      </c>
      <c r="F283" s="11">
        <f t="shared" si="12"/>
        <v>24.263972357766658</v>
      </c>
      <c r="G283" s="11">
        <f t="shared" si="13"/>
        <v>18.774535421322998</v>
      </c>
      <c r="H283" s="12">
        <f t="shared" si="14"/>
        <v>0.77376182038525332</v>
      </c>
    </row>
    <row r="284" spans="1:8">
      <c r="A284" s="9">
        <v>2024</v>
      </c>
      <c r="B284" s="9" t="s">
        <v>72</v>
      </c>
      <c r="C284" s="10">
        <v>24987294.699999999</v>
      </c>
      <c r="D284" s="11">
        <v>2656145783.8899999</v>
      </c>
      <c r="E284" s="11">
        <v>2019881389.72</v>
      </c>
      <c r="F284" s="11">
        <f t="shared" si="12"/>
        <v>106.29985421711139</v>
      </c>
      <c r="G284" s="11">
        <f t="shared" si="13"/>
        <v>80.83633758559705</v>
      </c>
      <c r="H284" s="12">
        <f t="shared" si="14"/>
        <v>0.76045577090344307</v>
      </c>
    </row>
    <row r="285" spans="1:8">
      <c r="A285" s="9">
        <v>2024</v>
      </c>
      <c r="B285" s="9" t="s">
        <v>73</v>
      </c>
      <c r="C285" s="10">
        <v>20173191</v>
      </c>
      <c r="D285" s="11">
        <v>758761143.35000002</v>
      </c>
      <c r="E285" s="11">
        <v>561470426.21000004</v>
      </c>
      <c r="F285" s="11">
        <f t="shared" si="12"/>
        <v>37.612351132252705</v>
      </c>
      <c r="G285" s="11">
        <f t="shared" si="13"/>
        <v>27.832504347477801</v>
      </c>
      <c r="H285" s="12">
        <f t="shared" si="14"/>
        <v>0.73998310420991853</v>
      </c>
    </row>
    <row r="286" spans="1:8">
      <c r="A286" s="9">
        <v>2024</v>
      </c>
      <c r="B286" s="9" t="s">
        <v>175</v>
      </c>
      <c r="C286" s="10">
        <v>30603</v>
      </c>
      <c r="D286" s="11">
        <v>2844072.5</v>
      </c>
      <c r="E286" s="11">
        <v>2169428.44</v>
      </c>
      <c r="F286" s="11">
        <f t="shared" si="12"/>
        <v>92.934434532562165</v>
      </c>
      <c r="G286" s="11">
        <f t="shared" si="13"/>
        <v>70.889404306767304</v>
      </c>
      <c r="H286" s="12">
        <f t="shared" si="14"/>
        <v>0.76278942959435803</v>
      </c>
    </row>
    <row r="287" spans="1:8">
      <c r="A287" s="9">
        <v>2024</v>
      </c>
      <c r="B287" s="9" t="s">
        <v>74</v>
      </c>
      <c r="C287" s="10">
        <v>130041272.59999999</v>
      </c>
      <c r="D287" s="11">
        <v>7088676489.7600002</v>
      </c>
      <c r="E287" s="11">
        <v>5046018315.1599998</v>
      </c>
      <c r="F287" s="11">
        <f t="shared" si="12"/>
        <v>54.510974462426177</v>
      </c>
      <c r="G287" s="11">
        <f t="shared" si="13"/>
        <v>38.803206199629273</v>
      </c>
      <c r="H287" s="12">
        <f t="shared" si="14"/>
        <v>0.71184209385902475</v>
      </c>
    </row>
    <row r="288" spans="1:8">
      <c r="A288" s="9">
        <v>2024</v>
      </c>
      <c r="B288" s="9" t="s">
        <v>75</v>
      </c>
      <c r="C288" s="10">
        <v>28860708.5</v>
      </c>
      <c r="D288" s="11">
        <v>1740864128.4300001</v>
      </c>
      <c r="E288" s="11">
        <v>1339262376.05</v>
      </c>
      <c r="F288" s="11">
        <f t="shared" si="12"/>
        <v>60.319521554018678</v>
      </c>
      <c r="G288" s="11">
        <f t="shared" si="13"/>
        <v>46.404348529766686</v>
      </c>
      <c r="H288" s="12">
        <f t="shared" si="14"/>
        <v>0.76930896224383405</v>
      </c>
    </row>
    <row r="289" spans="1:8">
      <c r="A289" s="9">
        <v>2024</v>
      </c>
      <c r="B289" s="9" t="s">
        <v>76</v>
      </c>
      <c r="C289" s="10">
        <v>8038913.0999999996</v>
      </c>
      <c r="D289" s="11">
        <v>662585224.5</v>
      </c>
      <c r="E289" s="11">
        <v>501086355.47000003</v>
      </c>
      <c r="F289" s="11">
        <f t="shared" si="12"/>
        <v>82.422239954304274</v>
      </c>
      <c r="G289" s="11">
        <f t="shared" si="13"/>
        <v>62.332600096149818</v>
      </c>
      <c r="H289" s="12">
        <f t="shared" si="14"/>
        <v>0.75625947718367814</v>
      </c>
    </row>
    <row r="290" spans="1:8">
      <c r="A290" s="9">
        <v>2024</v>
      </c>
      <c r="B290" s="9" t="s">
        <v>77</v>
      </c>
      <c r="C290" s="10">
        <v>11382740.6</v>
      </c>
      <c r="D290" s="11">
        <v>2035305658.03</v>
      </c>
      <c r="E290" s="11">
        <v>1570881470.48</v>
      </c>
      <c r="F290" s="11">
        <f t="shared" si="12"/>
        <v>178.80629362932157</v>
      </c>
      <c r="G290" s="11">
        <f t="shared" si="13"/>
        <v>138.00555821152597</v>
      </c>
      <c r="H290" s="12">
        <f t="shared" si="14"/>
        <v>0.77181599937204393</v>
      </c>
    </row>
    <row r="291" spans="1:8">
      <c r="A291" s="9">
        <v>2024</v>
      </c>
      <c r="B291" s="9" t="s">
        <v>78</v>
      </c>
      <c r="C291" s="10">
        <v>2835265</v>
      </c>
      <c r="D291" s="11">
        <v>235491258.65000001</v>
      </c>
      <c r="E291" s="11">
        <v>171441120.72999999</v>
      </c>
      <c r="F291" s="11">
        <f t="shared" si="12"/>
        <v>83.057935907225598</v>
      </c>
      <c r="G291" s="11">
        <f t="shared" si="13"/>
        <v>60.467406302409117</v>
      </c>
      <c r="H291" s="12">
        <f t="shared" si="14"/>
        <v>0.72801479644221179</v>
      </c>
    </row>
    <row r="292" spans="1:8">
      <c r="A292" s="9">
        <v>2024</v>
      </c>
      <c r="B292" s="9" t="s">
        <v>79</v>
      </c>
      <c r="C292" s="10">
        <v>117004</v>
      </c>
      <c r="D292" s="11">
        <v>11590316.84</v>
      </c>
      <c r="E292" s="11">
        <v>8639620.4399999995</v>
      </c>
      <c r="F292" s="11">
        <f t="shared" si="12"/>
        <v>99.059150456394647</v>
      </c>
      <c r="G292" s="11">
        <f t="shared" si="13"/>
        <v>73.840385285973127</v>
      </c>
      <c r="H292" s="12">
        <f t="shared" si="14"/>
        <v>0.74541710630233293</v>
      </c>
    </row>
    <row r="293" spans="1:8">
      <c r="A293" s="9">
        <v>2024</v>
      </c>
      <c r="B293" s="9" t="s">
        <v>80</v>
      </c>
      <c r="C293" s="10">
        <v>4698380.8</v>
      </c>
      <c r="D293" s="11">
        <v>159890348.22999999</v>
      </c>
      <c r="E293" s="11">
        <v>123324193.94</v>
      </c>
      <c r="F293" s="11">
        <f t="shared" si="12"/>
        <v>34.030947050949976</v>
      </c>
      <c r="G293" s="11">
        <f t="shared" si="13"/>
        <v>26.248232995503471</v>
      </c>
      <c r="H293" s="12">
        <f t="shared" si="14"/>
        <v>0.77130480548206637</v>
      </c>
    </row>
    <row r="294" spans="1:8">
      <c r="A294" s="9">
        <v>2024</v>
      </c>
      <c r="B294" s="9" t="s">
        <v>81</v>
      </c>
      <c r="C294" s="10">
        <v>4661174.8</v>
      </c>
      <c r="D294" s="11">
        <v>296035514.91000003</v>
      </c>
      <c r="E294" s="11">
        <v>219937897.87</v>
      </c>
      <c r="F294" s="11">
        <f t="shared" si="12"/>
        <v>63.510923235489912</v>
      </c>
      <c r="G294" s="11">
        <f t="shared" si="13"/>
        <v>47.185078291850374</v>
      </c>
      <c r="H294" s="12">
        <f t="shared" si="14"/>
        <v>0.74294429820984476</v>
      </c>
    </row>
    <row r="295" spans="1:8">
      <c r="A295" s="9">
        <v>2024</v>
      </c>
      <c r="B295" s="9" t="s">
        <v>82</v>
      </c>
      <c r="C295" s="10">
        <v>13187059.1</v>
      </c>
      <c r="D295" s="11">
        <v>278449626.44999999</v>
      </c>
      <c r="E295" s="11">
        <v>216196187.44999999</v>
      </c>
      <c r="F295" s="11">
        <f t="shared" si="12"/>
        <v>21.115369570915171</v>
      </c>
      <c r="G295" s="11">
        <f t="shared" si="13"/>
        <v>16.394571815485378</v>
      </c>
      <c r="H295" s="12">
        <f t="shared" si="14"/>
        <v>0.77642836230854639</v>
      </c>
    </row>
    <row r="296" spans="1:8">
      <c r="A296" s="9">
        <v>2024</v>
      </c>
      <c r="B296" s="9" t="s">
        <v>83</v>
      </c>
      <c r="C296" s="10">
        <v>401348711.30000001</v>
      </c>
      <c r="D296" s="11">
        <v>8823162848.5200005</v>
      </c>
      <c r="E296" s="11">
        <v>6838805200.4099998</v>
      </c>
      <c r="F296" s="11">
        <f t="shared" si="12"/>
        <v>21.983782681003465</v>
      </c>
      <c r="G296" s="11">
        <f t="shared" si="13"/>
        <v>17.039559385300063</v>
      </c>
      <c r="H296" s="12">
        <f t="shared" si="14"/>
        <v>0.77509678987248243</v>
      </c>
    </row>
    <row r="297" spans="1:8">
      <c r="A297" s="9">
        <v>2024</v>
      </c>
      <c r="B297" s="9" t="s">
        <v>84</v>
      </c>
      <c r="C297" s="10">
        <v>988913.9</v>
      </c>
      <c r="D297" s="11">
        <v>34528799.579999998</v>
      </c>
      <c r="E297" s="11">
        <v>26821246.920000002</v>
      </c>
      <c r="F297" s="11">
        <f t="shared" si="12"/>
        <v>34.915880523066768</v>
      </c>
      <c r="G297" s="11">
        <f t="shared" si="13"/>
        <v>27.121923273603496</v>
      </c>
      <c r="H297" s="12">
        <f t="shared" si="14"/>
        <v>0.77677901480060674</v>
      </c>
    </row>
    <row r="298" spans="1:8">
      <c r="A298" s="9">
        <v>2024</v>
      </c>
      <c r="B298" s="9" t="s">
        <v>85</v>
      </c>
      <c r="C298" s="10">
        <v>33097</v>
      </c>
      <c r="D298" s="11">
        <v>588826.76</v>
      </c>
      <c r="E298" s="11">
        <v>440106.1</v>
      </c>
      <c r="F298" s="11">
        <f t="shared" si="12"/>
        <v>17.790940568631598</v>
      </c>
      <c r="G298" s="11">
        <f t="shared" si="13"/>
        <v>13.297462005619844</v>
      </c>
      <c r="H298" s="12">
        <f t="shared" si="14"/>
        <v>0.74742883628454648</v>
      </c>
    </row>
    <row r="299" spans="1:8">
      <c r="A299" s="9">
        <v>2024</v>
      </c>
      <c r="B299" s="9" t="s">
        <v>86</v>
      </c>
      <c r="C299" s="10">
        <v>546808</v>
      </c>
      <c r="D299" s="11">
        <v>13887553.93</v>
      </c>
      <c r="E299" s="11">
        <v>10852222.23</v>
      </c>
      <c r="F299" s="11">
        <f t="shared" si="12"/>
        <v>25.397495885210166</v>
      </c>
      <c r="G299" s="11">
        <f t="shared" si="13"/>
        <v>19.846494985442789</v>
      </c>
      <c r="H299" s="12">
        <f t="shared" si="14"/>
        <v>0.7814351097897051</v>
      </c>
    </row>
    <row r="300" spans="1:8">
      <c r="A300" s="9">
        <v>2024</v>
      </c>
      <c r="B300" s="9" t="s">
        <v>87</v>
      </c>
      <c r="C300" s="10">
        <v>1088063</v>
      </c>
      <c r="D300" s="11">
        <v>81572427.230000004</v>
      </c>
      <c r="E300" s="11">
        <v>62950842</v>
      </c>
      <c r="F300" s="11">
        <f t="shared" si="12"/>
        <v>74.97031626845137</v>
      </c>
      <c r="G300" s="11">
        <f t="shared" si="13"/>
        <v>57.85587966873242</v>
      </c>
      <c r="H300" s="12">
        <f t="shared" si="14"/>
        <v>0.77171716151715153</v>
      </c>
    </row>
    <row r="301" spans="1:8">
      <c r="A301" s="9">
        <v>2024</v>
      </c>
      <c r="B301" s="9" t="s">
        <v>88</v>
      </c>
      <c r="C301" s="10">
        <v>162250</v>
      </c>
      <c r="D301" s="11">
        <v>8439881.5299999993</v>
      </c>
      <c r="E301" s="11">
        <v>6375002.7000000002</v>
      </c>
      <c r="F301" s="11">
        <f t="shared" si="12"/>
        <v>52.017759815100149</v>
      </c>
      <c r="G301" s="11">
        <f t="shared" si="13"/>
        <v>39.291233898305087</v>
      </c>
      <c r="H301" s="12">
        <f t="shared" si="14"/>
        <v>0.75534267600080884</v>
      </c>
    </row>
    <row r="302" spans="1:8">
      <c r="A302" s="9">
        <v>2024</v>
      </c>
      <c r="B302" s="9" t="s">
        <v>89</v>
      </c>
      <c r="C302" s="10">
        <v>14103098</v>
      </c>
      <c r="D302" s="11">
        <v>1356550386.47</v>
      </c>
      <c r="E302" s="11">
        <v>1047469017.58</v>
      </c>
      <c r="F302" s="11">
        <f t="shared" si="12"/>
        <v>96.188113169886506</v>
      </c>
      <c r="G302" s="11">
        <f t="shared" si="13"/>
        <v>74.272263979162602</v>
      </c>
      <c r="H302" s="12">
        <f t="shared" si="14"/>
        <v>0.77215636663943754</v>
      </c>
    </row>
    <row r="303" spans="1:8">
      <c r="A303" s="9">
        <v>2024</v>
      </c>
      <c r="B303" s="9" t="s">
        <v>90</v>
      </c>
      <c r="C303" s="10">
        <v>29566173.699999999</v>
      </c>
      <c r="D303" s="11">
        <v>1198299163.45</v>
      </c>
      <c r="E303" s="11">
        <v>914953189.58000004</v>
      </c>
      <c r="F303" s="11">
        <f t="shared" si="12"/>
        <v>40.529396045927989</v>
      </c>
      <c r="G303" s="11">
        <f t="shared" si="13"/>
        <v>30.945945148796852</v>
      </c>
      <c r="H303" s="12">
        <f t="shared" si="14"/>
        <v>0.76354320981563228</v>
      </c>
    </row>
    <row r="304" spans="1:8">
      <c r="A304" s="9">
        <v>2024</v>
      </c>
      <c r="B304" s="9" t="s">
        <v>91</v>
      </c>
      <c r="C304" s="10">
        <v>944108</v>
      </c>
      <c r="D304" s="11">
        <v>281146256.39999998</v>
      </c>
      <c r="E304" s="11">
        <v>216943733.25</v>
      </c>
      <c r="F304" s="11">
        <f t="shared" si="12"/>
        <v>297.79035491702217</v>
      </c>
      <c r="G304" s="11">
        <f t="shared" si="13"/>
        <v>229.78698755862678</v>
      </c>
      <c r="H304" s="12">
        <f t="shared" si="14"/>
        <v>0.77164012791030723</v>
      </c>
    </row>
    <row r="305" spans="1:8">
      <c r="A305" s="9">
        <v>2024</v>
      </c>
      <c r="B305" s="9" t="s">
        <v>92</v>
      </c>
      <c r="C305" s="10">
        <v>783102</v>
      </c>
      <c r="D305" s="11">
        <v>320702948.48000002</v>
      </c>
      <c r="E305" s="11">
        <v>247809919.28999999</v>
      </c>
      <c r="F305" s="11">
        <f t="shared" si="12"/>
        <v>409.5289610804212</v>
      </c>
      <c r="G305" s="11">
        <f t="shared" si="13"/>
        <v>316.44654117854378</v>
      </c>
      <c r="H305" s="12">
        <f t="shared" si="14"/>
        <v>0.77270857802997139</v>
      </c>
    </row>
    <row r="306" spans="1:8">
      <c r="A306" s="9">
        <v>2024</v>
      </c>
      <c r="B306" s="9" t="s">
        <v>93</v>
      </c>
      <c r="C306" s="10">
        <v>152248</v>
      </c>
      <c r="D306" s="11">
        <v>55691701.659999996</v>
      </c>
      <c r="E306" s="11">
        <v>43216549.25</v>
      </c>
      <c r="F306" s="11">
        <f t="shared" si="12"/>
        <v>365.79594910934787</v>
      </c>
      <c r="G306" s="11">
        <f t="shared" si="13"/>
        <v>283.85626904786926</v>
      </c>
      <c r="H306" s="12">
        <f t="shared" si="14"/>
        <v>0.77599620700833871</v>
      </c>
    </row>
    <row r="307" spans="1:8">
      <c r="A307" s="9">
        <v>2024</v>
      </c>
      <c r="B307" s="9" t="s">
        <v>94</v>
      </c>
      <c r="C307" s="10">
        <v>49993770.899999999</v>
      </c>
      <c r="D307" s="11">
        <v>760533636.02999997</v>
      </c>
      <c r="E307" s="11">
        <v>587470209.67999995</v>
      </c>
      <c r="F307" s="11">
        <f t="shared" si="12"/>
        <v>15.212567932738196</v>
      </c>
      <c r="G307" s="11">
        <f t="shared" si="13"/>
        <v>11.750868140254649</v>
      </c>
      <c r="H307" s="12">
        <f t="shared" si="14"/>
        <v>0.77244474385985817</v>
      </c>
    </row>
    <row r="308" spans="1:8">
      <c r="A308" s="9">
        <v>2024</v>
      </c>
      <c r="B308" s="9" t="s">
        <v>95</v>
      </c>
      <c r="C308" s="10">
        <v>34933</v>
      </c>
      <c r="D308" s="11">
        <v>3971418.18</v>
      </c>
      <c r="E308" s="11">
        <v>3090994.18</v>
      </c>
      <c r="F308" s="11">
        <f t="shared" si="12"/>
        <v>113.68671972060802</v>
      </c>
      <c r="G308" s="11">
        <f t="shared" si="13"/>
        <v>88.483502132653939</v>
      </c>
      <c r="H308" s="12">
        <f t="shared" si="14"/>
        <v>0.77830992353467043</v>
      </c>
    </row>
    <row r="309" spans="1:8">
      <c r="A309" s="9">
        <v>2024</v>
      </c>
      <c r="B309" s="9" t="s">
        <v>96</v>
      </c>
      <c r="C309" s="10">
        <v>16629</v>
      </c>
      <c r="D309" s="11">
        <v>14483.14</v>
      </c>
      <c r="E309" s="11">
        <v>11354.76</v>
      </c>
      <c r="F309" s="11">
        <f t="shared" si="12"/>
        <v>0.87095676228275898</v>
      </c>
      <c r="G309" s="11">
        <f t="shared" si="13"/>
        <v>0.68282879307234345</v>
      </c>
      <c r="H309" s="12">
        <f t="shared" si="14"/>
        <v>0.7839984975633737</v>
      </c>
    </row>
    <row r="310" spans="1:8">
      <c r="A310" s="9">
        <v>2024</v>
      </c>
      <c r="B310" s="9" t="s">
        <v>97</v>
      </c>
      <c r="C310" s="10">
        <v>199460850.5</v>
      </c>
      <c r="D310" s="11">
        <v>10509170421</v>
      </c>
      <c r="E310" s="11">
        <v>7723605719.5600004</v>
      </c>
      <c r="F310" s="11">
        <f t="shared" si="12"/>
        <v>52.687885340186092</v>
      </c>
      <c r="G310" s="11">
        <f t="shared" si="13"/>
        <v>38.722414449746871</v>
      </c>
      <c r="H310" s="12">
        <f t="shared" si="14"/>
        <v>0.73493962036492133</v>
      </c>
    </row>
    <row r="311" spans="1:8">
      <c r="A311" s="9">
        <v>2024</v>
      </c>
      <c r="B311" s="9" t="s">
        <v>98</v>
      </c>
      <c r="C311" s="10">
        <v>13762195.9</v>
      </c>
      <c r="D311" s="11">
        <v>1273372503.0999999</v>
      </c>
      <c r="E311" s="11">
        <v>960840466.88999999</v>
      </c>
      <c r="F311" s="11">
        <f t="shared" si="12"/>
        <v>92.526840364189255</v>
      </c>
      <c r="G311" s="11">
        <f t="shared" si="13"/>
        <v>69.817380443625282</v>
      </c>
      <c r="H311" s="12">
        <f t="shared" si="14"/>
        <v>0.75456354252259494</v>
      </c>
    </row>
    <row r="312" spans="1:8">
      <c r="A312" s="9">
        <v>2024</v>
      </c>
      <c r="B312" s="9" t="s">
        <v>99</v>
      </c>
      <c r="C312" s="10">
        <v>9446942.6999999993</v>
      </c>
      <c r="D312" s="11">
        <v>384136047.32999998</v>
      </c>
      <c r="E312" s="11">
        <v>292973393.32999998</v>
      </c>
      <c r="F312" s="11">
        <f t="shared" si="12"/>
        <v>40.662472455771329</v>
      </c>
      <c r="G312" s="11">
        <f t="shared" si="13"/>
        <v>31.012508769636128</v>
      </c>
      <c r="H312" s="12">
        <f t="shared" si="14"/>
        <v>0.76268133481967959</v>
      </c>
    </row>
    <row r="313" spans="1:8">
      <c r="A313" s="9">
        <v>2024</v>
      </c>
      <c r="B313" s="9" t="s">
        <v>100</v>
      </c>
      <c r="C313" s="10">
        <v>8270798.2000000002</v>
      </c>
      <c r="D313" s="11">
        <v>485787089.11000001</v>
      </c>
      <c r="E313" s="11">
        <v>375078466.38</v>
      </c>
      <c r="F313" s="11">
        <f t="shared" si="12"/>
        <v>58.735212413960241</v>
      </c>
      <c r="G313" s="11">
        <f t="shared" si="13"/>
        <v>45.349730136082876</v>
      </c>
      <c r="H313" s="12">
        <f t="shared" si="14"/>
        <v>0.77210464170048887</v>
      </c>
    </row>
    <row r="314" spans="1:8">
      <c r="A314" s="9">
        <v>2024</v>
      </c>
      <c r="B314" s="9" t="s">
        <v>101</v>
      </c>
      <c r="C314" s="10">
        <v>7072003.7000000002</v>
      </c>
      <c r="D314" s="11">
        <v>652211367.71000004</v>
      </c>
      <c r="E314" s="11">
        <v>488342309.69999999</v>
      </c>
      <c r="F314" s="11">
        <f t="shared" si="12"/>
        <v>92.224409852896429</v>
      </c>
      <c r="G314" s="11">
        <f t="shared" si="13"/>
        <v>69.052892280019591</v>
      </c>
      <c r="H314" s="12">
        <f t="shared" si="14"/>
        <v>0.74874854054542794</v>
      </c>
    </row>
    <row r="315" spans="1:8">
      <c r="A315" s="9">
        <v>2024</v>
      </c>
      <c r="B315" s="9" t="s">
        <v>102</v>
      </c>
      <c r="C315" s="10">
        <v>21906</v>
      </c>
      <c r="D315" s="11">
        <v>1702002.14</v>
      </c>
      <c r="E315" s="11">
        <v>1614762.82</v>
      </c>
      <c r="F315" s="11">
        <f t="shared" si="12"/>
        <v>77.695706199214825</v>
      </c>
      <c r="G315" s="11">
        <f t="shared" si="13"/>
        <v>73.713266684926509</v>
      </c>
      <c r="H315" s="12">
        <f t="shared" si="14"/>
        <v>0.94874311967668867</v>
      </c>
    </row>
    <row r="316" spans="1:8">
      <c r="A316" s="9">
        <v>2024</v>
      </c>
      <c r="B316" s="9" t="s">
        <v>176</v>
      </c>
      <c r="C316" s="10">
        <v>176927</v>
      </c>
      <c r="D316" s="11">
        <v>17075969.93</v>
      </c>
      <c r="E316" s="11">
        <v>13051790.18</v>
      </c>
      <c r="F316" s="11">
        <f t="shared" si="12"/>
        <v>96.514211680523601</v>
      </c>
      <c r="G316" s="11">
        <f t="shared" si="13"/>
        <v>73.769352218711674</v>
      </c>
      <c r="H316" s="12">
        <f t="shared" si="14"/>
        <v>0.76433668093253659</v>
      </c>
    </row>
    <row r="317" spans="1:8">
      <c r="A317" s="9">
        <v>2024</v>
      </c>
      <c r="B317" s="9" t="s">
        <v>103</v>
      </c>
      <c r="C317" s="10">
        <v>20171322.5</v>
      </c>
      <c r="D317" s="11">
        <v>1572745782.3499999</v>
      </c>
      <c r="E317" s="11">
        <v>1540470887.9400001</v>
      </c>
      <c r="F317" s="11">
        <f t="shared" si="12"/>
        <v>77.969393546208977</v>
      </c>
      <c r="G317" s="11">
        <f t="shared" si="13"/>
        <v>76.369354956275174</v>
      </c>
      <c r="H317" s="12">
        <f t="shared" si="14"/>
        <v>0.97947863235609844</v>
      </c>
    </row>
    <row r="318" spans="1:8">
      <c r="A318" s="9">
        <v>2024</v>
      </c>
      <c r="B318" s="9" t="s">
        <v>104</v>
      </c>
      <c r="C318" s="10">
        <v>104751</v>
      </c>
      <c r="D318" s="11">
        <v>14635307.85</v>
      </c>
      <c r="E318" s="11">
        <v>11023578.619999999</v>
      </c>
      <c r="F318" s="11">
        <f t="shared" si="12"/>
        <v>139.71520892401981</v>
      </c>
      <c r="G318" s="11">
        <f t="shared" si="13"/>
        <v>105.2360227587326</v>
      </c>
      <c r="H318" s="12">
        <f t="shared" si="14"/>
        <v>0.75321808963519676</v>
      </c>
    </row>
    <row r="319" spans="1:8">
      <c r="A319" s="9">
        <v>2024</v>
      </c>
      <c r="B319" s="9" t="s">
        <v>105</v>
      </c>
      <c r="C319" s="10">
        <v>25773</v>
      </c>
      <c r="D319" s="11">
        <v>1399733.82</v>
      </c>
      <c r="E319" s="11">
        <v>1037872.29</v>
      </c>
      <c r="F319" s="11">
        <f t="shared" si="12"/>
        <v>54.310084972645797</v>
      </c>
      <c r="G319" s="11">
        <f t="shared" si="13"/>
        <v>40.269750902106857</v>
      </c>
      <c r="H319" s="12">
        <f t="shared" si="14"/>
        <v>0.7414783262149085</v>
      </c>
    </row>
    <row r="320" spans="1:8">
      <c r="A320" s="9">
        <v>2024</v>
      </c>
      <c r="B320" s="9" t="s">
        <v>106</v>
      </c>
      <c r="C320" s="10">
        <v>108502162</v>
      </c>
      <c r="D320" s="11">
        <v>2510356073.9099998</v>
      </c>
      <c r="E320" s="11">
        <v>1950646209.5999999</v>
      </c>
      <c r="F320" s="11">
        <f t="shared" si="12"/>
        <v>23.136461316872193</v>
      </c>
      <c r="G320" s="11">
        <f t="shared" si="13"/>
        <v>17.97794784586873</v>
      </c>
      <c r="H320" s="12">
        <f t="shared" si="14"/>
        <v>0.77703965181392576</v>
      </c>
    </row>
    <row r="321" spans="1:8">
      <c r="A321" s="9">
        <v>2024</v>
      </c>
      <c r="B321" s="9" t="s">
        <v>107</v>
      </c>
      <c r="C321" s="10">
        <v>566441393</v>
      </c>
      <c r="D321" s="11">
        <v>8455564594.96</v>
      </c>
      <c r="E321" s="11">
        <v>6494140992.8599997</v>
      </c>
      <c r="F321" s="11">
        <f t="shared" si="12"/>
        <v>14.927518891544</v>
      </c>
      <c r="G321" s="11">
        <f t="shared" si="13"/>
        <v>11.464806550357451</v>
      </c>
      <c r="H321" s="12">
        <f t="shared" si="14"/>
        <v>0.76803162224446597</v>
      </c>
    </row>
    <row r="322" spans="1:8">
      <c r="A322" s="9">
        <v>2024</v>
      </c>
      <c r="B322" s="9" t="s">
        <v>108</v>
      </c>
      <c r="C322" s="10">
        <v>35988966</v>
      </c>
      <c r="D322" s="11">
        <v>537794286.20000005</v>
      </c>
      <c r="E322" s="11">
        <v>411990195.55000001</v>
      </c>
      <c r="F322" s="11">
        <f t="shared" ref="F322:F385" si="15">IFERROR(D322/C322,0)</f>
        <v>14.943310296828201</v>
      </c>
      <c r="G322" s="11">
        <f t="shared" ref="G322:G385" si="16">IFERROR(E322/C322,0)</f>
        <v>11.447680812780229</v>
      </c>
      <c r="H322" s="12">
        <f t="shared" ref="H322:H385" si="17">IFERROR(E322/D322,0)</f>
        <v>0.76607395452465854</v>
      </c>
    </row>
    <row r="323" spans="1:8">
      <c r="A323" s="9">
        <v>2024</v>
      </c>
      <c r="B323" s="9" t="s">
        <v>109</v>
      </c>
      <c r="C323" s="10">
        <v>309141</v>
      </c>
      <c r="D323" s="11">
        <v>11606139.25</v>
      </c>
      <c r="E323" s="11">
        <v>8950171.9900000002</v>
      </c>
      <c r="F323" s="11">
        <f t="shared" si="15"/>
        <v>37.543189838940805</v>
      </c>
      <c r="G323" s="11">
        <f t="shared" si="16"/>
        <v>28.951746905133906</v>
      </c>
      <c r="H323" s="12">
        <f t="shared" si="17"/>
        <v>0.77115841859298739</v>
      </c>
    </row>
    <row r="324" spans="1:8">
      <c r="A324" s="9">
        <v>2024</v>
      </c>
      <c r="B324" s="9" t="s">
        <v>110</v>
      </c>
      <c r="C324" s="10">
        <v>423033</v>
      </c>
      <c r="D324" s="11">
        <v>29598412.039999999</v>
      </c>
      <c r="E324" s="11">
        <v>22804011.039999999</v>
      </c>
      <c r="F324" s="11">
        <f t="shared" si="15"/>
        <v>69.967146865610957</v>
      </c>
      <c r="G324" s="11">
        <f t="shared" si="16"/>
        <v>53.905986152380542</v>
      </c>
      <c r="H324" s="12">
        <f t="shared" si="17"/>
        <v>0.77044711078358241</v>
      </c>
    </row>
    <row r="325" spans="1:8">
      <c r="A325" s="9">
        <v>2024</v>
      </c>
      <c r="B325" s="9" t="s">
        <v>111</v>
      </c>
      <c r="C325" s="10">
        <v>1859654</v>
      </c>
      <c r="D325" s="11">
        <v>143241293.11000001</v>
      </c>
      <c r="E325" s="11">
        <v>110393098.44</v>
      </c>
      <c r="F325" s="11">
        <f t="shared" si="15"/>
        <v>77.025776359473326</v>
      </c>
      <c r="G325" s="11">
        <f t="shared" si="16"/>
        <v>59.362170833929319</v>
      </c>
      <c r="H325" s="12">
        <f t="shared" si="17"/>
        <v>0.77067929256422774</v>
      </c>
    </row>
    <row r="326" spans="1:8">
      <c r="A326" s="9">
        <v>2024</v>
      </c>
      <c r="B326" s="9" t="s">
        <v>112</v>
      </c>
      <c r="C326" s="10">
        <v>286196</v>
      </c>
      <c r="D326" s="11">
        <v>7058014.3700000001</v>
      </c>
      <c r="E326" s="11">
        <v>5423519.79</v>
      </c>
      <c r="F326" s="11">
        <f t="shared" si="15"/>
        <v>24.661471054801606</v>
      </c>
      <c r="G326" s="11">
        <f t="shared" si="16"/>
        <v>18.950368942962164</v>
      </c>
      <c r="H326" s="12">
        <f t="shared" si="17"/>
        <v>0.76842005494528343</v>
      </c>
    </row>
    <row r="327" spans="1:8">
      <c r="A327" s="9">
        <v>2024</v>
      </c>
      <c r="B327" s="9" t="s">
        <v>113</v>
      </c>
      <c r="C327" s="10">
        <v>45688946</v>
      </c>
      <c r="D327" s="11">
        <v>1155732142.1300001</v>
      </c>
      <c r="E327" s="11">
        <v>868102434.13999999</v>
      </c>
      <c r="F327" s="11">
        <f t="shared" si="15"/>
        <v>25.295662152722894</v>
      </c>
      <c r="G327" s="11">
        <f t="shared" si="16"/>
        <v>19.000272716731089</v>
      </c>
      <c r="H327" s="12">
        <f t="shared" si="17"/>
        <v>0.75112770727315581</v>
      </c>
    </row>
    <row r="328" spans="1:8">
      <c r="A328" s="9">
        <v>2024</v>
      </c>
      <c r="B328" s="9" t="s">
        <v>114</v>
      </c>
      <c r="C328" s="10">
        <v>7410</v>
      </c>
      <c r="D328" s="11">
        <v>1072322.79</v>
      </c>
      <c r="E328" s="11">
        <v>819962.86</v>
      </c>
      <c r="F328" s="11">
        <f t="shared" si="15"/>
        <v>144.71292712550607</v>
      </c>
      <c r="G328" s="11">
        <f t="shared" si="16"/>
        <v>110.6562564102564</v>
      </c>
      <c r="H328" s="12">
        <f t="shared" si="17"/>
        <v>0.76466048063755132</v>
      </c>
    </row>
    <row r="329" spans="1:8">
      <c r="A329" s="9">
        <v>2024</v>
      </c>
      <c r="B329" s="9" t="s">
        <v>115</v>
      </c>
      <c r="C329" s="10">
        <v>16151</v>
      </c>
      <c r="D329" s="11">
        <v>430049</v>
      </c>
      <c r="E329" s="11">
        <v>421411.2</v>
      </c>
      <c r="F329" s="11">
        <f t="shared" si="15"/>
        <v>26.626772336078261</v>
      </c>
      <c r="G329" s="11">
        <f t="shared" si="16"/>
        <v>26.091957154355768</v>
      </c>
      <c r="H329" s="12">
        <f t="shared" si="17"/>
        <v>0.97991438184951019</v>
      </c>
    </row>
    <row r="330" spans="1:8">
      <c r="A330" s="9">
        <v>2024</v>
      </c>
      <c r="B330" s="9" t="s">
        <v>173</v>
      </c>
      <c r="C330" s="10">
        <v>1053566.8</v>
      </c>
      <c r="D330" s="11">
        <v>94319088.590000004</v>
      </c>
      <c r="E330" s="11">
        <v>71568420.140000001</v>
      </c>
      <c r="F330" s="11">
        <f t="shared" si="15"/>
        <v>89.523596026374406</v>
      </c>
      <c r="G330" s="11">
        <f t="shared" si="16"/>
        <v>67.929646359395534</v>
      </c>
      <c r="H330" s="12">
        <f t="shared" si="17"/>
        <v>0.7587904125230055</v>
      </c>
    </row>
    <row r="331" spans="1:8">
      <c r="A331" s="9">
        <v>2024</v>
      </c>
      <c r="B331" s="9" t="s">
        <v>116</v>
      </c>
      <c r="C331" s="10">
        <v>1499044</v>
      </c>
      <c r="D331" s="11">
        <v>346561460.70999998</v>
      </c>
      <c r="E331" s="11">
        <v>270047116.45999998</v>
      </c>
      <c r="F331" s="11">
        <f t="shared" si="15"/>
        <v>231.18831782789564</v>
      </c>
      <c r="G331" s="11">
        <f t="shared" si="16"/>
        <v>180.14622416686899</v>
      </c>
      <c r="H331" s="12">
        <f t="shared" si="17"/>
        <v>0.77921854295845483</v>
      </c>
    </row>
    <row r="332" spans="1:8">
      <c r="A332" s="9">
        <v>2024</v>
      </c>
      <c r="B332" s="9" t="s">
        <v>117</v>
      </c>
      <c r="C332" s="10">
        <v>20230244.699999999</v>
      </c>
      <c r="D332" s="11">
        <v>1849765941.6300001</v>
      </c>
      <c r="E332" s="11">
        <v>1390526426.1099999</v>
      </c>
      <c r="F332" s="11">
        <f t="shared" si="15"/>
        <v>91.435668182006722</v>
      </c>
      <c r="G332" s="11">
        <f t="shared" si="16"/>
        <v>68.735027516004294</v>
      </c>
      <c r="H332" s="12">
        <f t="shared" si="17"/>
        <v>0.75173101353822003</v>
      </c>
    </row>
    <row r="333" spans="1:8">
      <c r="A333" s="9">
        <v>2024</v>
      </c>
      <c r="B333" s="9" t="s">
        <v>118</v>
      </c>
      <c r="C333" s="10">
        <v>76075643.400000006</v>
      </c>
      <c r="D333" s="11">
        <v>2217543864.2600002</v>
      </c>
      <c r="E333" s="11">
        <v>1662622771.4000001</v>
      </c>
      <c r="F333" s="11">
        <f t="shared" si="15"/>
        <v>29.149196315045561</v>
      </c>
      <c r="G333" s="11">
        <f t="shared" si="16"/>
        <v>21.854863095380669</v>
      </c>
      <c r="H333" s="12">
        <f t="shared" si="17"/>
        <v>0.7497586849109843</v>
      </c>
    </row>
    <row r="334" spans="1:8">
      <c r="A334" s="9">
        <v>2024</v>
      </c>
      <c r="B334" s="9" t="s">
        <v>119</v>
      </c>
      <c r="C334" s="10">
        <v>372453</v>
      </c>
      <c r="D334" s="11">
        <v>14623278.9</v>
      </c>
      <c r="E334" s="11">
        <v>11042426.16</v>
      </c>
      <c r="F334" s="11">
        <f t="shared" si="15"/>
        <v>39.262078436742357</v>
      </c>
      <c r="G334" s="11">
        <f t="shared" si="16"/>
        <v>29.647837874845955</v>
      </c>
      <c r="H334" s="12">
        <f t="shared" si="17"/>
        <v>0.75512655099534487</v>
      </c>
    </row>
    <row r="335" spans="1:8">
      <c r="A335" s="9">
        <v>2024</v>
      </c>
      <c r="B335" s="9" t="s">
        <v>120</v>
      </c>
      <c r="C335" s="10">
        <v>2780096</v>
      </c>
      <c r="D335" s="11">
        <v>727305173.86000001</v>
      </c>
      <c r="E335" s="11">
        <v>562358047.80999994</v>
      </c>
      <c r="F335" s="11">
        <f t="shared" si="15"/>
        <v>261.61153206939616</v>
      </c>
      <c r="G335" s="11">
        <f t="shared" si="16"/>
        <v>202.28008234607725</v>
      </c>
      <c r="H335" s="12">
        <f t="shared" si="17"/>
        <v>0.77320781980061792</v>
      </c>
    </row>
    <row r="336" spans="1:8">
      <c r="A336" s="9">
        <v>2024</v>
      </c>
      <c r="B336" s="9" t="s">
        <v>121</v>
      </c>
      <c r="C336" s="10">
        <v>2098996.7000000002</v>
      </c>
      <c r="D336" s="11">
        <v>247360794.75999999</v>
      </c>
      <c r="E336" s="11">
        <v>192095870.56</v>
      </c>
      <c r="F336" s="11">
        <f t="shared" si="15"/>
        <v>117.84715753007137</v>
      </c>
      <c r="G336" s="11">
        <f t="shared" si="16"/>
        <v>91.517947865282494</v>
      </c>
      <c r="H336" s="12">
        <f t="shared" si="17"/>
        <v>0.77658171638064</v>
      </c>
    </row>
    <row r="337" spans="1:8">
      <c r="A337" s="9">
        <v>2024</v>
      </c>
      <c r="B337" s="9" t="s">
        <v>122</v>
      </c>
      <c r="C337" s="10">
        <v>239066819.30000001</v>
      </c>
      <c r="D337" s="11">
        <v>13463633078.9</v>
      </c>
      <c r="E337" s="11">
        <v>10148467542.85</v>
      </c>
      <c r="F337" s="11">
        <f t="shared" si="15"/>
        <v>56.31744764213709</v>
      </c>
      <c r="G337" s="11">
        <f t="shared" si="16"/>
        <v>42.450339083295781</v>
      </c>
      <c r="H337" s="12">
        <f t="shared" si="17"/>
        <v>0.75376887377854374</v>
      </c>
    </row>
    <row r="338" spans="1:8">
      <c r="A338" s="9">
        <v>2024</v>
      </c>
      <c r="B338" s="9" t="s">
        <v>124</v>
      </c>
      <c r="C338" s="10">
        <v>9089154.0999999996</v>
      </c>
      <c r="D338" s="11">
        <v>546051598.38</v>
      </c>
      <c r="E338" s="11">
        <v>414377844.31999999</v>
      </c>
      <c r="F338" s="11">
        <f t="shared" si="15"/>
        <v>60.077273679406538</v>
      </c>
      <c r="G338" s="11">
        <f t="shared" si="16"/>
        <v>45.590364049389372</v>
      </c>
      <c r="H338" s="12">
        <f t="shared" si="17"/>
        <v>0.75886206642258081</v>
      </c>
    </row>
    <row r="339" spans="1:8">
      <c r="A339" s="9">
        <v>2024</v>
      </c>
      <c r="B339" s="9" t="s">
        <v>125</v>
      </c>
      <c r="C339" s="10">
        <v>20470390.5</v>
      </c>
      <c r="D339" s="11">
        <v>577570598.21000004</v>
      </c>
      <c r="E339" s="11">
        <v>432972370.20999998</v>
      </c>
      <c r="F339" s="11">
        <f t="shared" si="15"/>
        <v>28.214928201296406</v>
      </c>
      <c r="G339" s="11">
        <f t="shared" si="16"/>
        <v>21.151153428655892</v>
      </c>
      <c r="H339" s="12">
        <f t="shared" si="17"/>
        <v>0.74964406351684598</v>
      </c>
    </row>
    <row r="340" spans="1:8">
      <c r="A340" s="9">
        <v>2024</v>
      </c>
      <c r="B340" s="9" t="s">
        <v>126</v>
      </c>
      <c r="C340" s="10">
        <v>19878</v>
      </c>
      <c r="D340" s="11">
        <v>6183778.3600000003</v>
      </c>
      <c r="E340" s="11">
        <v>4731830.75</v>
      </c>
      <c r="F340" s="11">
        <f t="shared" si="15"/>
        <v>311.08654593017405</v>
      </c>
      <c r="G340" s="11">
        <f t="shared" si="16"/>
        <v>238.04360348123555</v>
      </c>
      <c r="H340" s="12">
        <f t="shared" si="17"/>
        <v>0.76520057390931451</v>
      </c>
    </row>
    <row r="341" spans="1:8">
      <c r="A341" s="9">
        <v>2024</v>
      </c>
      <c r="B341" s="9" t="s">
        <v>127</v>
      </c>
      <c r="C341" s="10">
        <v>154129079.69999999</v>
      </c>
      <c r="D341" s="11">
        <v>10888578467.08</v>
      </c>
      <c r="E341" s="11">
        <v>8231506916.5</v>
      </c>
      <c r="F341" s="11">
        <f t="shared" si="15"/>
        <v>70.64584105915479</v>
      </c>
      <c r="G341" s="11">
        <f t="shared" si="16"/>
        <v>53.406579293939693</v>
      </c>
      <c r="H341" s="12">
        <f t="shared" si="17"/>
        <v>0.75597626828761333</v>
      </c>
    </row>
    <row r="342" spans="1:8">
      <c r="A342" s="9">
        <v>2024</v>
      </c>
      <c r="B342" s="9" t="s">
        <v>128</v>
      </c>
      <c r="C342" s="10">
        <v>1310007</v>
      </c>
      <c r="D342" s="11">
        <v>234290568</v>
      </c>
      <c r="E342" s="11">
        <v>225051440.43000001</v>
      </c>
      <c r="F342" s="11">
        <f t="shared" si="15"/>
        <v>178.84680616210449</v>
      </c>
      <c r="G342" s="11">
        <f t="shared" si="16"/>
        <v>171.79407471105117</v>
      </c>
      <c r="H342" s="12">
        <f t="shared" si="17"/>
        <v>0.96056551636342447</v>
      </c>
    </row>
    <row r="343" spans="1:8">
      <c r="A343" s="9">
        <v>2024</v>
      </c>
      <c r="B343" s="9" t="s">
        <v>129</v>
      </c>
      <c r="C343" s="10">
        <v>33438</v>
      </c>
      <c r="D343" s="11">
        <v>2185731.23</v>
      </c>
      <c r="E343" s="11">
        <v>1642258.77</v>
      </c>
      <c r="F343" s="11">
        <f t="shared" si="15"/>
        <v>65.366685507506432</v>
      </c>
      <c r="G343" s="11">
        <f t="shared" si="16"/>
        <v>49.113546563789704</v>
      </c>
      <c r="H343" s="12">
        <f t="shared" si="17"/>
        <v>0.75135439685326733</v>
      </c>
    </row>
    <row r="344" spans="1:8">
      <c r="A344" s="9">
        <v>2024</v>
      </c>
      <c r="B344" s="9" t="s">
        <v>130</v>
      </c>
      <c r="C344" s="10">
        <v>16337537.1</v>
      </c>
      <c r="D344" s="11">
        <v>1424744445.47</v>
      </c>
      <c r="E344" s="11">
        <v>953233544.42999995</v>
      </c>
      <c r="F344" s="11">
        <f t="shared" si="15"/>
        <v>87.206807044985993</v>
      </c>
      <c r="G344" s="11">
        <f t="shared" si="16"/>
        <v>58.3462206448486</v>
      </c>
      <c r="H344" s="12">
        <f t="shared" si="17"/>
        <v>0.66905580678754195</v>
      </c>
    </row>
    <row r="345" spans="1:8">
      <c r="A345" s="9">
        <v>2024</v>
      </c>
      <c r="B345" s="9" t="s">
        <v>174</v>
      </c>
      <c r="C345" s="10">
        <v>5106</v>
      </c>
      <c r="D345" s="11">
        <v>386893.75</v>
      </c>
      <c r="E345" s="11">
        <v>284488.08</v>
      </c>
      <c r="F345" s="11">
        <f t="shared" si="15"/>
        <v>75.772375636506069</v>
      </c>
      <c r="G345" s="11">
        <f t="shared" si="16"/>
        <v>55.716427732079907</v>
      </c>
      <c r="H345" s="12">
        <f t="shared" si="17"/>
        <v>0.73531319645251447</v>
      </c>
    </row>
    <row r="346" spans="1:8">
      <c r="A346" s="9">
        <v>2024</v>
      </c>
      <c r="B346" s="9" t="s">
        <v>177</v>
      </c>
      <c r="C346" s="10">
        <v>65</v>
      </c>
      <c r="D346" s="11">
        <v>1033.06</v>
      </c>
      <c r="E346" s="11">
        <v>788.36</v>
      </c>
      <c r="F346" s="11">
        <f t="shared" si="15"/>
        <v>15.893230769230769</v>
      </c>
      <c r="G346" s="11">
        <f t="shared" si="16"/>
        <v>12.128615384615385</v>
      </c>
      <c r="H346" s="12">
        <f t="shared" si="17"/>
        <v>0.76313089268774326</v>
      </c>
    </row>
    <row r="347" spans="1:8">
      <c r="A347" s="9">
        <v>2024</v>
      </c>
      <c r="B347" s="9" t="s">
        <v>178</v>
      </c>
      <c r="C347" s="10">
        <v>79</v>
      </c>
      <c r="D347" s="11">
        <v>16616.990000000002</v>
      </c>
      <c r="E347" s="11">
        <v>12139.39</v>
      </c>
      <c r="F347" s="11">
        <f t="shared" si="15"/>
        <v>210.34164556962028</v>
      </c>
      <c r="G347" s="11">
        <f t="shared" si="16"/>
        <v>153.66316455696202</v>
      </c>
      <c r="H347" s="12">
        <f t="shared" si="17"/>
        <v>0.73054085005768177</v>
      </c>
    </row>
    <row r="348" spans="1:8">
      <c r="A348" s="9">
        <v>2024</v>
      </c>
      <c r="B348" s="9" t="s">
        <v>131</v>
      </c>
      <c r="C348" s="10">
        <v>225486</v>
      </c>
      <c r="D348" s="11">
        <v>55571574.780000001</v>
      </c>
      <c r="E348" s="11">
        <v>42580268.359999999</v>
      </c>
      <c r="F348" s="11">
        <f t="shared" si="15"/>
        <v>246.45243953061387</v>
      </c>
      <c r="G348" s="11">
        <f t="shared" si="16"/>
        <v>188.83774762069484</v>
      </c>
      <c r="H348" s="12">
        <f t="shared" si="17"/>
        <v>0.76622389285474191</v>
      </c>
    </row>
    <row r="349" spans="1:8">
      <c r="A349" s="9">
        <v>2024</v>
      </c>
      <c r="B349" s="9" t="s">
        <v>179</v>
      </c>
      <c r="C349" s="10">
        <v>2649</v>
      </c>
      <c r="D349" s="11">
        <v>180980.82</v>
      </c>
      <c r="E349" s="11">
        <v>140112.84</v>
      </c>
      <c r="F349" s="11">
        <f t="shared" si="15"/>
        <v>68.320430351075885</v>
      </c>
      <c r="G349" s="11">
        <f t="shared" si="16"/>
        <v>52.892729331823325</v>
      </c>
      <c r="H349" s="12">
        <f t="shared" si="17"/>
        <v>0.77418612646356666</v>
      </c>
    </row>
    <row r="350" spans="1:8">
      <c r="A350" s="9">
        <v>2024</v>
      </c>
      <c r="B350" s="9" t="s">
        <v>132</v>
      </c>
      <c r="C350" s="10">
        <v>76433879.599999994</v>
      </c>
      <c r="D350" s="11">
        <v>3866621934.1300001</v>
      </c>
      <c r="E350" s="11">
        <v>2901856345.9299998</v>
      </c>
      <c r="F350" s="11">
        <f t="shared" si="15"/>
        <v>50.587801566074113</v>
      </c>
      <c r="G350" s="11">
        <f t="shared" si="16"/>
        <v>37.965577059757152</v>
      </c>
      <c r="H350" s="12">
        <f t="shared" si="17"/>
        <v>0.75048877168874928</v>
      </c>
    </row>
    <row r="351" spans="1:8">
      <c r="A351" s="9">
        <v>2024</v>
      </c>
      <c r="B351" s="9" t="s">
        <v>133</v>
      </c>
      <c r="C351" s="10">
        <v>936895</v>
      </c>
      <c r="D351" s="11">
        <v>96764267.129999995</v>
      </c>
      <c r="E351" s="11">
        <v>73646663.349999994</v>
      </c>
      <c r="F351" s="11">
        <f t="shared" si="15"/>
        <v>103.28186950512064</v>
      </c>
      <c r="G351" s="11">
        <f t="shared" si="16"/>
        <v>78.607168732888951</v>
      </c>
      <c r="H351" s="12">
        <f t="shared" si="17"/>
        <v>0.7610935889284195</v>
      </c>
    </row>
    <row r="352" spans="1:8">
      <c r="A352" s="9">
        <v>2024</v>
      </c>
      <c r="B352" s="9" t="s">
        <v>134</v>
      </c>
      <c r="C352" s="10">
        <v>13905192.300000001</v>
      </c>
      <c r="D352" s="11">
        <v>1254747214.8900001</v>
      </c>
      <c r="E352" s="11">
        <v>926255166.07000005</v>
      </c>
      <c r="F352" s="11">
        <f t="shared" si="15"/>
        <v>90.235876485505344</v>
      </c>
      <c r="G352" s="11">
        <f t="shared" si="16"/>
        <v>66.612179543176836</v>
      </c>
      <c r="H352" s="12">
        <f t="shared" si="17"/>
        <v>0.73820061529381598</v>
      </c>
    </row>
    <row r="353" spans="1:8">
      <c r="A353" s="9">
        <v>2024</v>
      </c>
      <c r="B353" s="9" t="s">
        <v>135</v>
      </c>
      <c r="C353" s="10">
        <v>2582895</v>
      </c>
      <c r="D353" s="11">
        <v>92580196.810000002</v>
      </c>
      <c r="E353" s="11">
        <v>68774636.680000007</v>
      </c>
      <c r="F353" s="11">
        <f t="shared" si="15"/>
        <v>35.843577385065984</v>
      </c>
      <c r="G353" s="11">
        <f t="shared" si="16"/>
        <v>26.626957998679778</v>
      </c>
      <c r="H353" s="12">
        <f t="shared" si="17"/>
        <v>0.74286552685931806</v>
      </c>
    </row>
    <row r="354" spans="1:8">
      <c r="A354" s="9">
        <v>2024</v>
      </c>
      <c r="B354" s="9" t="s">
        <v>136</v>
      </c>
      <c r="C354" s="10">
        <v>13646565.800000001</v>
      </c>
      <c r="D354" s="11">
        <v>589895470.48000002</v>
      </c>
      <c r="E354" s="11">
        <v>446158065.42000002</v>
      </c>
      <c r="F354" s="11">
        <f t="shared" si="15"/>
        <v>43.226660767648958</v>
      </c>
      <c r="G354" s="11">
        <f t="shared" si="16"/>
        <v>32.693797982493145</v>
      </c>
      <c r="H354" s="12">
        <f t="shared" si="17"/>
        <v>0.75633410959565361</v>
      </c>
    </row>
    <row r="355" spans="1:8">
      <c r="A355" s="9">
        <v>2024</v>
      </c>
      <c r="B355" s="9" t="s">
        <v>137</v>
      </c>
      <c r="C355" s="10">
        <v>33676563.399999999</v>
      </c>
      <c r="D355" s="11">
        <v>1395879679.01</v>
      </c>
      <c r="E355" s="11">
        <v>1098422803.3399999</v>
      </c>
      <c r="F355" s="11">
        <f t="shared" si="15"/>
        <v>41.449588024471645</v>
      </c>
      <c r="G355" s="11">
        <f t="shared" si="16"/>
        <v>32.616831779812784</v>
      </c>
      <c r="H355" s="12">
        <f t="shared" si="17"/>
        <v>0.78690364209545238</v>
      </c>
    </row>
    <row r="356" spans="1:8">
      <c r="A356" s="9">
        <v>2024</v>
      </c>
      <c r="B356" s="9" t="s">
        <v>138</v>
      </c>
      <c r="C356" s="10">
        <v>2632763</v>
      </c>
      <c r="D356" s="11">
        <v>118563432.31</v>
      </c>
      <c r="E356" s="11">
        <v>90080488.109999999</v>
      </c>
      <c r="F356" s="11">
        <f t="shared" si="15"/>
        <v>45.033841751042537</v>
      </c>
      <c r="G356" s="11">
        <f t="shared" si="16"/>
        <v>34.21519069889694</v>
      </c>
      <c r="H356" s="12">
        <f t="shared" si="17"/>
        <v>0.75976619734213224</v>
      </c>
    </row>
    <row r="357" spans="1:8">
      <c r="A357" s="9">
        <v>2024</v>
      </c>
      <c r="B357" s="9" t="s">
        <v>139</v>
      </c>
      <c r="C357" s="10">
        <v>66914</v>
      </c>
      <c r="D357" s="11">
        <v>5240996.5999999996</v>
      </c>
      <c r="E357" s="11">
        <v>4069957.54</v>
      </c>
      <c r="F357" s="11">
        <f t="shared" si="15"/>
        <v>78.324365603610602</v>
      </c>
      <c r="G357" s="11">
        <f t="shared" si="16"/>
        <v>60.823707146486534</v>
      </c>
      <c r="H357" s="12">
        <f t="shared" si="17"/>
        <v>0.77656175926540394</v>
      </c>
    </row>
    <row r="358" spans="1:8">
      <c r="A358" s="9">
        <v>2024</v>
      </c>
      <c r="B358" s="9" t="s">
        <v>180</v>
      </c>
      <c r="C358" s="10">
        <v>11</v>
      </c>
      <c r="D358" s="11">
        <v>1878.07</v>
      </c>
      <c r="E358" s="11">
        <v>1472.4</v>
      </c>
      <c r="F358" s="11">
        <f t="shared" si="15"/>
        <v>170.73363636363635</v>
      </c>
      <c r="G358" s="11">
        <f t="shared" si="16"/>
        <v>133.85454545454547</v>
      </c>
      <c r="H358" s="12">
        <f t="shared" si="17"/>
        <v>0.78399633666476765</v>
      </c>
    </row>
    <row r="359" spans="1:8">
      <c r="A359" s="9">
        <v>2024</v>
      </c>
      <c r="B359" s="9" t="s">
        <v>140</v>
      </c>
      <c r="C359" s="10">
        <v>89709</v>
      </c>
      <c r="D359" s="11">
        <v>20478486.190000001</v>
      </c>
      <c r="E359" s="11">
        <v>15767582.210000001</v>
      </c>
      <c r="F359" s="11">
        <f t="shared" si="15"/>
        <v>228.27683052982422</v>
      </c>
      <c r="G359" s="11">
        <f t="shared" si="16"/>
        <v>175.76366039081921</v>
      </c>
      <c r="H359" s="12">
        <f t="shared" si="17"/>
        <v>0.7699583877298305</v>
      </c>
    </row>
    <row r="360" spans="1:8">
      <c r="A360" s="9">
        <v>2024</v>
      </c>
      <c r="B360" s="9" t="s">
        <v>141</v>
      </c>
      <c r="C360" s="10">
        <v>1895232029.4000001</v>
      </c>
      <c r="D360" s="11">
        <v>4395077639.3000002</v>
      </c>
      <c r="E360" s="11">
        <v>3417498159.4200001</v>
      </c>
      <c r="F360" s="11">
        <f t="shared" si="15"/>
        <v>2.3190182368812176</v>
      </c>
      <c r="G360" s="11">
        <f t="shared" si="16"/>
        <v>1.8032083177181872</v>
      </c>
      <c r="H360" s="12">
        <f t="shared" si="17"/>
        <v>0.77757401345117116</v>
      </c>
    </row>
    <row r="361" spans="1:8">
      <c r="A361" s="9">
        <v>2024</v>
      </c>
      <c r="B361" s="9" t="s">
        <v>142</v>
      </c>
      <c r="C361" s="10">
        <v>32715508.5</v>
      </c>
      <c r="D361" s="11">
        <v>1313590110.48</v>
      </c>
      <c r="E361" s="11">
        <v>996736025.88</v>
      </c>
      <c r="F361" s="11">
        <f t="shared" si="15"/>
        <v>40.151908703482327</v>
      </c>
      <c r="G361" s="11">
        <f t="shared" si="16"/>
        <v>30.466774675991967</v>
      </c>
      <c r="H361" s="12">
        <f t="shared" si="17"/>
        <v>0.75878770548583219</v>
      </c>
    </row>
    <row r="362" spans="1:8">
      <c r="A362" s="9">
        <v>2024</v>
      </c>
      <c r="B362" s="9" t="s">
        <v>143</v>
      </c>
      <c r="C362" s="10">
        <v>177006048.59999999</v>
      </c>
      <c r="D362" s="11">
        <v>4867475664.8999996</v>
      </c>
      <c r="E362" s="11">
        <v>3595441187.48</v>
      </c>
      <c r="F362" s="11">
        <f t="shared" si="15"/>
        <v>27.498922796133193</v>
      </c>
      <c r="G362" s="11">
        <f t="shared" si="16"/>
        <v>20.312532910132429</v>
      </c>
      <c r="H362" s="12">
        <f t="shared" si="17"/>
        <v>0.73866649471042956</v>
      </c>
    </row>
    <row r="363" spans="1:8">
      <c r="A363" s="9">
        <v>2024</v>
      </c>
      <c r="B363" s="9" t="s">
        <v>144</v>
      </c>
      <c r="C363" s="10">
        <v>101825048.7</v>
      </c>
      <c r="D363" s="11">
        <v>4943044415.3000002</v>
      </c>
      <c r="E363" s="11">
        <v>3635609045.1700001</v>
      </c>
      <c r="F363" s="11">
        <f t="shared" si="15"/>
        <v>48.544483684592628</v>
      </c>
      <c r="G363" s="11">
        <f t="shared" si="16"/>
        <v>35.70446654910365</v>
      </c>
      <c r="H363" s="12">
        <f t="shared" si="17"/>
        <v>0.73549997526157163</v>
      </c>
    </row>
    <row r="364" spans="1:8">
      <c r="A364" s="9">
        <v>2024</v>
      </c>
      <c r="B364" s="9" t="s">
        <v>145</v>
      </c>
      <c r="C364" s="10">
        <v>2442439.9</v>
      </c>
      <c r="D364" s="11">
        <v>584587606.57000005</v>
      </c>
      <c r="E364" s="11">
        <v>452689619</v>
      </c>
      <c r="F364" s="11">
        <f t="shared" si="15"/>
        <v>239.34574872036774</v>
      </c>
      <c r="G364" s="11">
        <f t="shared" si="16"/>
        <v>185.34319677630555</v>
      </c>
      <c r="H364" s="12">
        <f t="shared" si="17"/>
        <v>0.77437430063922119</v>
      </c>
    </row>
    <row r="365" spans="1:8">
      <c r="A365" s="9">
        <v>2024</v>
      </c>
      <c r="B365" s="9" t="s">
        <v>146</v>
      </c>
      <c r="C365" s="10">
        <v>35388068.100000001</v>
      </c>
      <c r="D365" s="11">
        <v>3479396640.1900001</v>
      </c>
      <c r="E365" s="11">
        <v>2603566213.6700001</v>
      </c>
      <c r="F365" s="11">
        <f t="shared" si="15"/>
        <v>98.321180753859792</v>
      </c>
      <c r="G365" s="11">
        <f t="shared" si="16"/>
        <v>73.571866266132787</v>
      </c>
      <c r="H365" s="12">
        <f t="shared" si="17"/>
        <v>0.74828094721843119</v>
      </c>
    </row>
    <row r="366" spans="1:8">
      <c r="A366" s="9">
        <v>2024</v>
      </c>
      <c r="B366" s="9" t="s">
        <v>147</v>
      </c>
      <c r="C366" s="10">
        <v>5098897</v>
      </c>
      <c r="D366" s="11">
        <v>283956441.52999997</v>
      </c>
      <c r="E366" s="11">
        <v>216176805.34999999</v>
      </c>
      <c r="F366" s="11">
        <f t="shared" si="15"/>
        <v>55.689777912752497</v>
      </c>
      <c r="G366" s="11">
        <f t="shared" si="16"/>
        <v>42.396778234586812</v>
      </c>
      <c r="H366" s="12">
        <f t="shared" si="17"/>
        <v>0.76130269905203374</v>
      </c>
    </row>
    <row r="367" spans="1:8">
      <c r="A367" s="9">
        <v>2024</v>
      </c>
      <c r="B367" s="9" t="s">
        <v>148</v>
      </c>
      <c r="C367" s="10">
        <v>362135.1</v>
      </c>
      <c r="D367" s="11">
        <v>35525382.32</v>
      </c>
      <c r="E367" s="11">
        <v>27416685.550000001</v>
      </c>
      <c r="F367" s="11">
        <f t="shared" si="15"/>
        <v>98.099803968187572</v>
      </c>
      <c r="G367" s="11">
        <f t="shared" si="16"/>
        <v>75.708445687810993</v>
      </c>
      <c r="H367" s="12">
        <f t="shared" si="17"/>
        <v>0.77174920464022756</v>
      </c>
    </row>
    <row r="368" spans="1:8">
      <c r="A368" s="9">
        <v>2024</v>
      </c>
      <c r="B368" s="9" t="s">
        <v>181</v>
      </c>
      <c r="C368" s="10">
        <v>154</v>
      </c>
      <c r="D368" s="11">
        <v>31652.85</v>
      </c>
      <c r="E368" s="11">
        <v>25167.42</v>
      </c>
      <c r="F368" s="11">
        <f t="shared" si="15"/>
        <v>205.537987012987</v>
      </c>
      <c r="G368" s="11">
        <f t="shared" si="16"/>
        <v>163.42480519480517</v>
      </c>
      <c r="H368" s="12">
        <f t="shared" si="17"/>
        <v>0.79510754955714891</v>
      </c>
    </row>
    <row r="369" spans="1:8">
      <c r="A369" s="9">
        <v>2024</v>
      </c>
      <c r="B369" s="9" t="s">
        <v>149</v>
      </c>
      <c r="C369" s="10">
        <v>9892620.0999999996</v>
      </c>
      <c r="D369" s="11">
        <v>913164651.85000002</v>
      </c>
      <c r="E369" s="11">
        <v>674257620.60000002</v>
      </c>
      <c r="F369" s="11">
        <f t="shared" si="15"/>
        <v>92.307663957498988</v>
      </c>
      <c r="G369" s="11">
        <f t="shared" si="16"/>
        <v>68.15763809630171</v>
      </c>
      <c r="H369" s="12">
        <f t="shared" si="17"/>
        <v>0.73837463948479276</v>
      </c>
    </row>
    <row r="370" spans="1:8">
      <c r="A370" s="9">
        <v>2024</v>
      </c>
      <c r="B370" s="9" t="s">
        <v>150</v>
      </c>
      <c r="C370" s="10">
        <v>96308.5</v>
      </c>
      <c r="D370" s="11">
        <v>12248692.17</v>
      </c>
      <c r="E370" s="11">
        <v>9293549.2400000002</v>
      </c>
      <c r="F370" s="11">
        <f t="shared" si="15"/>
        <v>127.18183929767362</v>
      </c>
      <c r="G370" s="11">
        <f t="shared" si="16"/>
        <v>96.497705186977271</v>
      </c>
      <c r="H370" s="12">
        <f t="shared" si="17"/>
        <v>0.75873808493303008</v>
      </c>
    </row>
    <row r="371" spans="1:8">
      <c r="A371" s="9">
        <v>2024</v>
      </c>
      <c r="B371" s="9" t="s">
        <v>151</v>
      </c>
      <c r="C371" s="10">
        <v>115552</v>
      </c>
      <c r="D371" s="11">
        <v>8207370.7000000002</v>
      </c>
      <c r="E371" s="11">
        <v>8030760.9900000002</v>
      </c>
      <c r="F371" s="11">
        <f t="shared" si="15"/>
        <v>71.02750882719468</v>
      </c>
      <c r="G371" s="11">
        <f t="shared" si="16"/>
        <v>69.499108539878151</v>
      </c>
      <c r="H371" s="12">
        <f t="shared" si="17"/>
        <v>0.97848157266735858</v>
      </c>
    </row>
    <row r="372" spans="1:8">
      <c r="A372" s="9">
        <v>2024</v>
      </c>
      <c r="B372" s="9" t="s">
        <v>152</v>
      </c>
      <c r="C372" s="10">
        <v>17438168.899999999</v>
      </c>
      <c r="D372" s="11">
        <v>1391375931.6700001</v>
      </c>
      <c r="E372" s="11">
        <v>1053708194.61</v>
      </c>
      <c r="F372" s="11">
        <f t="shared" si="15"/>
        <v>79.789107425722904</v>
      </c>
      <c r="G372" s="11">
        <f t="shared" si="16"/>
        <v>60.425392175780573</v>
      </c>
      <c r="H372" s="12">
        <f t="shared" si="17"/>
        <v>0.75731380040855378</v>
      </c>
    </row>
    <row r="373" spans="1:8">
      <c r="A373" s="9">
        <v>2024</v>
      </c>
      <c r="B373" s="9" t="s">
        <v>153</v>
      </c>
      <c r="C373" s="10">
        <v>14299699</v>
      </c>
      <c r="D373" s="11">
        <v>1883036701.49</v>
      </c>
      <c r="E373" s="11">
        <v>1474563847.3800001</v>
      </c>
      <c r="F373" s="11">
        <f t="shared" si="15"/>
        <v>131.68366001899761</v>
      </c>
      <c r="G373" s="11">
        <f t="shared" si="16"/>
        <v>103.11852350038977</v>
      </c>
      <c r="H373" s="12">
        <f t="shared" si="17"/>
        <v>0.78307759281229861</v>
      </c>
    </row>
    <row r="374" spans="1:8">
      <c r="A374" s="9">
        <v>2024</v>
      </c>
      <c r="B374" s="9" t="s">
        <v>154</v>
      </c>
      <c r="C374" s="10">
        <v>132013</v>
      </c>
      <c r="D374" s="11">
        <v>32287345.23</v>
      </c>
      <c r="E374" s="11">
        <v>25178903.23</v>
      </c>
      <c r="F374" s="11">
        <f t="shared" si="15"/>
        <v>244.57701309719496</v>
      </c>
      <c r="G374" s="11">
        <f t="shared" si="16"/>
        <v>190.73048283123632</v>
      </c>
      <c r="H374" s="12">
        <f t="shared" si="17"/>
        <v>0.77983813938982061</v>
      </c>
    </row>
    <row r="375" spans="1:8">
      <c r="A375" s="9">
        <v>2024</v>
      </c>
      <c r="B375" s="9" t="s">
        <v>155</v>
      </c>
      <c r="C375" s="10">
        <v>551015.80000000005</v>
      </c>
      <c r="D375" s="11">
        <v>16900434.940000001</v>
      </c>
      <c r="E375" s="11">
        <v>15648009.82</v>
      </c>
      <c r="F375" s="11">
        <f t="shared" si="15"/>
        <v>30.671416209843709</v>
      </c>
      <c r="G375" s="11">
        <f t="shared" si="16"/>
        <v>28.398477539119565</v>
      </c>
      <c r="H375" s="12">
        <f t="shared" si="17"/>
        <v>0.92589391193502613</v>
      </c>
    </row>
    <row r="376" spans="1:8">
      <c r="A376" s="9">
        <v>2024</v>
      </c>
      <c r="B376" s="9" t="s">
        <v>156</v>
      </c>
      <c r="C376" s="10">
        <v>79</v>
      </c>
      <c r="D376" s="11">
        <v>21484</v>
      </c>
      <c r="E376" s="11">
        <v>16180.53</v>
      </c>
      <c r="F376" s="11">
        <f t="shared" si="15"/>
        <v>271.94936708860757</v>
      </c>
      <c r="G376" s="11">
        <f t="shared" si="16"/>
        <v>204.81683544303797</v>
      </c>
      <c r="H376" s="12">
        <f t="shared" si="17"/>
        <v>0.75314326940979337</v>
      </c>
    </row>
    <row r="377" spans="1:8">
      <c r="A377" s="9">
        <v>2024</v>
      </c>
      <c r="B377" s="9" t="s">
        <v>157</v>
      </c>
      <c r="C377" s="10">
        <v>210906117.59999999</v>
      </c>
      <c r="D377" s="11">
        <v>3323037232.0599999</v>
      </c>
      <c r="E377" s="11">
        <v>2555525689.3400002</v>
      </c>
      <c r="F377" s="11">
        <f t="shared" si="15"/>
        <v>15.756002101192726</v>
      </c>
      <c r="G377" s="11">
        <f t="shared" si="16"/>
        <v>12.116887449356756</v>
      </c>
      <c r="H377" s="12">
        <f t="shared" si="17"/>
        <v>0.76903311966679111</v>
      </c>
    </row>
    <row r="378" spans="1:8">
      <c r="A378" s="9">
        <v>2024</v>
      </c>
      <c r="B378" s="9" t="s">
        <v>158</v>
      </c>
      <c r="C378" s="10">
        <v>466915.7</v>
      </c>
      <c r="D378" s="11">
        <v>30044895.34</v>
      </c>
      <c r="E378" s="11">
        <v>23186568.129999999</v>
      </c>
      <c r="F378" s="11">
        <f t="shared" si="15"/>
        <v>64.347579959294578</v>
      </c>
      <c r="G378" s="11">
        <f t="shared" si="16"/>
        <v>49.659002963489982</v>
      </c>
      <c r="H378" s="12">
        <f t="shared" si="17"/>
        <v>0.77173070059361371</v>
      </c>
    </row>
    <row r="379" spans="1:8">
      <c r="A379" s="9">
        <v>2024</v>
      </c>
      <c r="B379" s="9" t="s">
        <v>159</v>
      </c>
      <c r="C379" s="10">
        <v>102669</v>
      </c>
      <c r="D379" s="11">
        <v>156218.44</v>
      </c>
      <c r="E379" s="11">
        <v>120681.98</v>
      </c>
      <c r="F379" s="11">
        <f t="shared" si="15"/>
        <v>1.5215736005999865</v>
      </c>
      <c r="G379" s="11">
        <f t="shared" si="16"/>
        <v>1.1754471164616389</v>
      </c>
      <c r="H379" s="12">
        <f t="shared" si="17"/>
        <v>0.77252070882285084</v>
      </c>
    </row>
    <row r="380" spans="1:8">
      <c r="A380" s="9">
        <v>2024</v>
      </c>
      <c r="B380" s="9" t="s">
        <v>160</v>
      </c>
      <c r="C380" s="10">
        <v>849073</v>
      </c>
      <c r="D380" s="11">
        <v>76619672.620000005</v>
      </c>
      <c r="E380" s="11">
        <v>56528360.049999997</v>
      </c>
      <c r="F380" s="11">
        <f t="shared" si="15"/>
        <v>90.239205133127541</v>
      </c>
      <c r="G380" s="11">
        <f t="shared" si="16"/>
        <v>66.576560613751695</v>
      </c>
      <c r="H380" s="12">
        <f t="shared" si="17"/>
        <v>0.73777866854581708</v>
      </c>
    </row>
    <row r="381" spans="1:8">
      <c r="A381" s="9">
        <v>2024</v>
      </c>
      <c r="B381" s="9" t="s">
        <v>161</v>
      </c>
      <c r="C381" s="10">
        <v>42719</v>
      </c>
      <c r="D381" s="11">
        <v>1895954.5</v>
      </c>
      <c r="E381" s="11">
        <v>1444395.76</v>
      </c>
      <c r="F381" s="11">
        <f t="shared" si="15"/>
        <v>44.381996301411547</v>
      </c>
      <c r="G381" s="11">
        <f t="shared" si="16"/>
        <v>33.81155364123692</v>
      </c>
      <c r="H381" s="12">
        <f t="shared" si="17"/>
        <v>0.76183039202681291</v>
      </c>
    </row>
    <row r="382" spans="1:8">
      <c r="A382" s="9">
        <v>2024</v>
      </c>
      <c r="B382" s="9" t="s">
        <v>162</v>
      </c>
      <c r="C382" s="10"/>
      <c r="D382" s="11"/>
      <c r="E382" s="11"/>
      <c r="F382" s="11">
        <f t="shared" si="15"/>
        <v>0</v>
      </c>
      <c r="G382" s="11">
        <f t="shared" si="16"/>
        <v>0</v>
      </c>
      <c r="H382" s="12">
        <f t="shared" si="17"/>
        <v>0</v>
      </c>
    </row>
    <row r="383" spans="1:8">
      <c r="A383" s="9">
        <v>2024</v>
      </c>
      <c r="B383" s="9" t="s">
        <v>163</v>
      </c>
      <c r="C383" s="10">
        <v>2020804</v>
      </c>
      <c r="D383" s="11">
        <v>121815115.61</v>
      </c>
      <c r="E383" s="11">
        <v>93802608.560000002</v>
      </c>
      <c r="F383" s="11">
        <f t="shared" si="15"/>
        <v>60.280519837648775</v>
      </c>
      <c r="G383" s="11">
        <f t="shared" si="16"/>
        <v>46.418459464648727</v>
      </c>
      <c r="H383" s="12">
        <f t="shared" si="17"/>
        <v>0.77004079576065021</v>
      </c>
    </row>
    <row r="384" spans="1:8">
      <c r="A384" s="9">
        <v>2024</v>
      </c>
      <c r="B384" s="9" t="s">
        <v>164</v>
      </c>
      <c r="C384" s="10">
        <v>7909514.9000000004</v>
      </c>
      <c r="D384" s="11">
        <v>221082839.06999999</v>
      </c>
      <c r="E384" s="11">
        <v>162848140.56</v>
      </c>
      <c r="F384" s="11">
        <f t="shared" si="15"/>
        <v>27.95150421551137</v>
      </c>
      <c r="G384" s="11">
        <f t="shared" si="16"/>
        <v>20.588891053230078</v>
      </c>
      <c r="H384" s="12">
        <f t="shared" si="17"/>
        <v>0.73659331156154761</v>
      </c>
    </row>
    <row r="385" spans="1:8">
      <c r="A385" s="9">
        <v>2024</v>
      </c>
      <c r="B385" s="9" t="s">
        <v>165</v>
      </c>
      <c r="C385" s="10">
        <v>586818</v>
      </c>
      <c r="D385" s="11">
        <v>106474249.98</v>
      </c>
      <c r="E385" s="11">
        <v>82093190.269999996</v>
      </c>
      <c r="F385" s="11">
        <f t="shared" si="15"/>
        <v>181.44339468114475</v>
      </c>
      <c r="G385" s="11">
        <f t="shared" si="16"/>
        <v>139.89548764693652</v>
      </c>
      <c r="H385" s="12">
        <f t="shared" si="17"/>
        <v>0.771014496795425</v>
      </c>
    </row>
    <row r="386" spans="1:8">
      <c r="A386" s="9">
        <v>2024</v>
      </c>
      <c r="B386" s="9" t="s">
        <v>166</v>
      </c>
      <c r="C386" s="10">
        <v>893146</v>
      </c>
      <c r="D386" s="11">
        <v>319442892.43000001</v>
      </c>
      <c r="E386" s="11">
        <v>249052537.44999999</v>
      </c>
      <c r="F386" s="11">
        <f t="shared" ref="F386:F391" si="18">IFERROR(D386/C386,0)</f>
        <v>357.66032925188046</v>
      </c>
      <c r="G386" s="11">
        <f t="shared" ref="G386:G391" si="19">IFERROR(E386/C386,0)</f>
        <v>278.84862883559907</v>
      </c>
      <c r="H386" s="12">
        <f t="shared" ref="H386:H391" si="20">IFERROR(E386/D386,0)</f>
        <v>0.77964651382742922</v>
      </c>
    </row>
    <row r="387" spans="1:8">
      <c r="A387" s="9">
        <v>2024</v>
      </c>
      <c r="B387" s="9" t="s">
        <v>167</v>
      </c>
      <c r="C387" s="10">
        <v>216845</v>
      </c>
      <c r="D387" s="11">
        <v>29991694.140000001</v>
      </c>
      <c r="E387" s="11">
        <v>23345801.149999999</v>
      </c>
      <c r="F387" s="11">
        <f t="shared" si="18"/>
        <v>138.30936447693054</v>
      </c>
      <c r="G387" s="11">
        <f t="shared" si="19"/>
        <v>107.66123798104637</v>
      </c>
      <c r="H387" s="12">
        <f t="shared" si="20"/>
        <v>0.77840888350697213</v>
      </c>
    </row>
    <row r="388" spans="1:8">
      <c r="A388" s="9">
        <v>2024</v>
      </c>
      <c r="B388" s="9" t="s">
        <v>168</v>
      </c>
      <c r="C388" s="10">
        <v>692172</v>
      </c>
      <c r="D388" s="11">
        <v>59728211.460000001</v>
      </c>
      <c r="E388" s="11">
        <v>46052423.659999996</v>
      </c>
      <c r="F388" s="11">
        <f t="shared" si="18"/>
        <v>86.290996255266037</v>
      </c>
      <c r="G388" s="11">
        <f t="shared" si="19"/>
        <v>66.533208017660343</v>
      </c>
      <c r="H388" s="12">
        <f t="shared" si="20"/>
        <v>0.77103302667687135</v>
      </c>
    </row>
    <row r="389" spans="1:8">
      <c r="A389" s="9">
        <v>2024</v>
      </c>
      <c r="B389" s="9" t="s">
        <v>169</v>
      </c>
      <c r="C389" s="10">
        <v>18409</v>
      </c>
      <c r="D389" s="11">
        <v>1849035.82</v>
      </c>
      <c r="E389" s="11">
        <v>1396701.13</v>
      </c>
      <c r="F389" s="11">
        <f t="shared" si="18"/>
        <v>100.44194796023685</v>
      </c>
      <c r="G389" s="11">
        <f t="shared" si="19"/>
        <v>75.870559508935841</v>
      </c>
      <c r="H389" s="12">
        <f t="shared" si="20"/>
        <v>0.75536726486996875</v>
      </c>
    </row>
    <row r="390" spans="1:8">
      <c r="A390" s="9">
        <v>2024</v>
      </c>
      <c r="B390" s="9" t="s">
        <v>170</v>
      </c>
      <c r="C390" s="10">
        <v>63567858.600000001</v>
      </c>
      <c r="D390" s="11">
        <v>2149275723.1799998</v>
      </c>
      <c r="E390" s="11">
        <v>1620319771.8699999</v>
      </c>
      <c r="F390" s="11">
        <f t="shared" si="18"/>
        <v>33.810730304827345</v>
      </c>
      <c r="G390" s="11">
        <f t="shared" si="19"/>
        <v>25.489607602890054</v>
      </c>
      <c r="H390" s="12">
        <f t="shared" si="20"/>
        <v>0.75389106869574951</v>
      </c>
    </row>
    <row r="391" spans="1:8">
      <c r="A391" s="9">
        <v>2024</v>
      </c>
      <c r="B391" s="9" t="s">
        <v>171</v>
      </c>
      <c r="C391" s="10">
        <v>6936448.2000000002</v>
      </c>
      <c r="D391" s="11">
        <v>1135016763.5699999</v>
      </c>
      <c r="E391" s="11">
        <v>874991555.60000002</v>
      </c>
      <c r="F391" s="11">
        <f t="shared" si="18"/>
        <v>163.63082817658753</v>
      </c>
      <c r="G391" s="11">
        <f t="shared" si="19"/>
        <v>126.14403371454573</v>
      </c>
      <c r="H391" s="12">
        <f t="shared" si="20"/>
        <v>0.77090628410444317</v>
      </c>
    </row>
  </sheetData>
  <conditionalFormatting sqref="E2:E391">
    <cfRule type="dataBar" priority="1">
      <dataBar>
        <cfvo type="min"/>
        <cfvo type="max"/>
        <color rgb="FF2A7F89"/>
      </dataBar>
    </cfRule>
    <cfRule type="dataBar" priority="2">
      <dataBar>
        <cfvo type="min"/>
        <cfvo type="max"/>
        <color rgb="FF2A7F89"/>
      </dataBar>
      <extLst>
        <ext xmlns:x14="http://schemas.microsoft.com/office/spreadsheetml/2009/9/main" uri="{B025F937-C7B1-47D3-B67F-A62EFF666E3E}">
          <x14:id>{4725FB0A-D222-16FB-B2E3-F3E7197CE918}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25FB0A-D222-16FB-B2E3-F3E7197CE918}">
            <x14:dataBar>
              <x14:cfvo type="min"/>
              <x14:cfvo type="max"/>
              <x14:negativeFillColor auto="1"/>
              <x14:axisColor auto="1"/>
            </x14:dataBar>
          </x14:cfRule>
          <xm:sqref>E2:E391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workbookViewId="0">
      <selection sqref="A1:G1"/>
    </sheetView>
  </sheetViews>
  <sheetFormatPr defaultRowHeight="13.8"/>
  <cols>
    <col min="1" max="1" width="10" customWidth="1"/>
    <col min="2" max="4" width="20" customWidth="1"/>
    <col min="5" max="6" width="19" customWidth="1"/>
    <col min="7" max="7" width="18" customWidth="1"/>
  </cols>
  <sheetData>
    <row r="1" spans="1:8" ht="24" customHeight="1">
      <c r="A1" s="16" t="s">
        <v>182</v>
      </c>
      <c r="B1" s="16"/>
      <c r="C1" s="16"/>
      <c r="D1" s="16"/>
      <c r="E1" s="16"/>
      <c r="F1" s="16"/>
      <c r="G1" s="16"/>
    </row>
    <row r="3" spans="1:8" ht="24" customHeight="1">
      <c r="A3" s="13" t="s">
        <v>38</v>
      </c>
      <c r="B3" s="13" t="s">
        <v>40</v>
      </c>
      <c r="C3" s="13" t="s">
        <v>41</v>
      </c>
      <c r="D3" s="13" t="s">
        <v>42</v>
      </c>
      <c r="E3" s="13" t="s">
        <v>43</v>
      </c>
      <c r="F3" s="13" t="s">
        <v>44</v>
      </c>
      <c r="G3" s="13" t="s">
        <v>183</v>
      </c>
    </row>
    <row r="4" spans="1:8">
      <c r="A4">
        <v>2022</v>
      </c>
      <c r="B4" s="6">
        <v>5481328388.1000004</v>
      </c>
      <c r="C4" s="7">
        <v>150030793769.88</v>
      </c>
      <c r="D4" s="7">
        <v>115923762573.08</v>
      </c>
      <c r="E4" s="7">
        <f>IFERROR(C4/B4,0)</f>
        <v>27.371247104186978</v>
      </c>
      <c r="F4" s="7">
        <f>IFERROR(D4/B4,0)</f>
        <v>21.148844653195976</v>
      </c>
      <c r="G4" s="8"/>
    </row>
    <row r="5" spans="1:8">
      <c r="A5">
        <v>2023</v>
      </c>
      <c r="B5" s="6">
        <v>6139157953.1000004</v>
      </c>
      <c r="C5" s="7">
        <v>163028847801.07001</v>
      </c>
      <c r="D5" s="7">
        <v>125666071738.46001</v>
      </c>
      <c r="E5" s="7">
        <f>IFERROR(C5/B5,0)</f>
        <v>26.555571471939036</v>
      </c>
      <c r="F5" s="7">
        <f>IFERROR(D5/B5,0)</f>
        <v>20.469594152566845</v>
      </c>
      <c r="G5" s="8">
        <f>IFERROR((D5-D4)/D4,0)</f>
        <v>8.404065697262296E-2</v>
      </c>
    </row>
    <row r="6" spans="1:8">
      <c r="A6">
        <v>2024</v>
      </c>
      <c r="B6" s="6">
        <v>5963297207.8999996</v>
      </c>
      <c r="C6" s="7">
        <v>171359240501.67999</v>
      </c>
      <c r="D6" s="7">
        <v>131677023361.00101</v>
      </c>
      <c r="E6" s="7">
        <f>IFERROR(C6/B6,0)</f>
        <v>28.735653201163334</v>
      </c>
      <c r="F6" s="7">
        <f>IFERROR(D6/B6,0)</f>
        <v>22.081244447544755</v>
      </c>
      <c r="G6" s="8">
        <f>IFERROR((D6-D5)/D5,0)</f>
        <v>4.783273272877641E-2</v>
      </c>
    </row>
    <row r="9" spans="1:8">
      <c r="A9" s="17" t="s">
        <v>184</v>
      </c>
      <c r="B9" s="17"/>
      <c r="D9" s="17" t="s">
        <v>185</v>
      </c>
      <c r="E9" s="17"/>
      <c r="G9" s="17" t="s">
        <v>186</v>
      </c>
      <c r="H9" s="17"/>
    </row>
    <row r="10" spans="1:8">
      <c r="A10" s="18">
        <f>D6</f>
        <v>131677023361.00101</v>
      </c>
      <c r="B10" s="19"/>
      <c r="D10" s="20">
        <f>B6</f>
        <v>5963297207.8999996</v>
      </c>
      <c r="E10" s="19"/>
      <c r="G10" s="21">
        <f>F6</f>
        <v>22.081244447544755</v>
      </c>
      <c r="H10" s="19"/>
    </row>
    <row r="11" spans="1:8">
      <c r="A11" s="19"/>
      <c r="B11" s="19"/>
      <c r="D11" s="19"/>
      <c r="E11" s="19"/>
      <c r="G11" s="19"/>
      <c r="H11" s="19"/>
    </row>
  </sheetData>
  <mergeCells count="7">
    <mergeCell ref="A1:G1"/>
    <mergeCell ref="A9:B9"/>
    <mergeCell ref="A10:B11"/>
    <mergeCell ref="D9:E9"/>
    <mergeCell ref="D10:E11"/>
    <mergeCell ref="G9:H9"/>
    <mergeCell ref="G10:H1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3.8"/>
  <cols>
    <col min="1" max="1" width="10" customWidth="1"/>
    <col min="2" max="2" width="45" customWidth="1"/>
    <col min="3" max="3" width="75" customWidth="1"/>
    <col min="4" max="4" width="45" customWidth="1"/>
  </cols>
  <sheetData>
    <row r="1" spans="1:4">
      <c r="A1" s="4" t="s">
        <v>38</v>
      </c>
      <c r="B1" s="4" t="s">
        <v>187</v>
      </c>
      <c r="C1" s="4" t="s">
        <v>188</v>
      </c>
      <c r="D1" s="4" t="s">
        <v>189</v>
      </c>
    </row>
    <row r="2" spans="1:4" ht="33.6" customHeight="1">
      <c r="A2">
        <v>2022</v>
      </c>
      <c r="B2" t="s">
        <v>190</v>
      </c>
      <c r="C2" t="s">
        <v>191</v>
      </c>
      <c r="D2" t="s">
        <v>192</v>
      </c>
    </row>
    <row r="3" spans="1:4" ht="33.6" customHeight="1">
      <c r="A3">
        <v>2023</v>
      </c>
      <c r="B3" t="s">
        <v>193</v>
      </c>
      <c r="C3" t="s">
        <v>194</v>
      </c>
      <c r="D3" t="s">
        <v>192</v>
      </c>
    </row>
    <row r="4" spans="1:4" ht="33.6" customHeight="1">
      <c r="A4">
        <v>2024</v>
      </c>
      <c r="B4" t="s">
        <v>195</v>
      </c>
      <c r="C4" t="s">
        <v>196</v>
      </c>
      <c r="D4" t="s">
        <v>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Guide</vt:lpstr>
      <vt:lpstr>2022</vt:lpstr>
      <vt:lpstr>2023</vt:lpstr>
      <vt:lpstr>2024</vt:lpstr>
      <vt:lpstr>Combined Data</vt:lpstr>
      <vt:lpstr>Annual Summary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Lisa .</cp:lastModifiedBy>
  <dcterms:modified xsi:type="dcterms:W3CDTF">2026-08-09T01:46:46Z</dcterms:modified>
</cp:coreProperties>
</file>